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enjelloun\OneDrive - Cooperactions\Documents\Code\Ponctuel\stress_amf\"/>
    </mc:Choice>
  </mc:AlternateContent>
  <xr:revisionPtr revIDLastSave="0" documentId="13_ncr:1_{EE87AC2F-2132-456D-8850-D5C4506F54CF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Sheet1" sheetId="1" r:id="rId1"/>
    <sheet name="Feuil1" sheetId="2" r:id="rId2"/>
  </sheets>
  <definedNames>
    <definedName name="_xlnm._FilterDatabase" localSheetId="0" hidden="1">Sheet1!$A$1:$AC$31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<sst xmlns="http://schemas.openxmlformats.org/spreadsheetml/2006/main" count="187" uniqueCount="47">
  <si>
    <t>Date</t>
  </si>
  <si>
    <t>Jour</t>
  </si>
  <si>
    <t>Portefeuille</t>
  </si>
  <si>
    <t>Fonds_monetaires</t>
  </si>
  <si>
    <t>Montant_vendu</t>
  </si>
  <si>
    <t>Montant_vendu_deficit_cash</t>
  </si>
  <si>
    <t>Montant_vendu_futures</t>
  </si>
  <si>
    <t>Montant_vendu_options</t>
  </si>
  <si>
    <t>Montant_vendu_appel_collat</t>
  </si>
  <si>
    <t>Montant_vendu_passif</t>
  </si>
  <si>
    <t>Actif_net_portefeuille</t>
  </si>
  <si>
    <t>Vente_pct_actif_net</t>
  </si>
  <si>
    <t>Vente_pct_deficit_cash</t>
  </si>
  <si>
    <t>Vente_pct_futures</t>
  </si>
  <si>
    <t>Vente_pct_options</t>
  </si>
  <si>
    <t>Vente_pct_appel_collat</t>
  </si>
  <si>
    <t>Vente_pct_passif</t>
  </si>
  <si>
    <t>Montant_vendu_cumule</t>
  </si>
  <si>
    <t>Montant_vendu_deficit_cash_cumule</t>
  </si>
  <si>
    <t>Montant_vendu_futures_cumule</t>
  </si>
  <si>
    <t>Montant_vendu_options_cumule</t>
  </si>
  <si>
    <t>Montant_vendu_appel_collat_cumule</t>
  </si>
  <si>
    <t>Vente_pct_passif_cumule</t>
  </si>
  <si>
    <t>Vente_pct_cumule_actif_net</t>
  </si>
  <si>
    <t>Vente_pct_cumule_deficit_cash</t>
  </si>
  <si>
    <t>Vente_pct_cumule_futures</t>
  </si>
  <si>
    <t>Vente_pct_cumule_options</t>
  </si>
  <si>
    <t>Vente_pct_cumule_appel_collat</t>
  </si>
  <si>
    <t>Vente_pct_cumule_passif</t>
  </si>
  <si>
    <t>Day 1</t>
  </si>
  <si>
    <t>GROUPAMA MONETAIRE- IC</t>
  </si>
  <si>
    <t>Day 2</t>
  </si>
  <si>
    <t>Day 3</t>
  </si>
  <si>
    <t>Day 4</t>
  </si>
  <si>
    <t>Day 10</t>
  </si>
  <si>
    <t>Day 5</t>
  </si>
  <si>
    <t>GROUPAMA TRESORERIE I</t>
  </si>
  <si>
    <t>GROUPAMA ULTRA SHORT TERM - IC</t>
  </si>
  <si>
    <t>GROUPAMA ENTREPRISES I</t>
  </si>
  <si>
    <t>Total général</t>
  </si>
  <si>
    <t>Somme de Montant_vendu</t>
  </si>
  <si>
    <t>Moyenne de Actif_net_portefeuille</t>
  </si>
  <si>
    <t>Actif net du portefeuille  (stressé)</t>
  </si>
  <si>
    <t>Pourcentage de rachat</t>
  </si>
  <si>
    <t>Montant vendu</t>
  </si>
  <si>
    <t>Fonds monétaire</t>
  </si>
  <si>
    <t>Actif net du portefeuille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</si>
</sst>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4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10" fontId="0" fillId="0" borderId="0" xfId="1" applyNumberFormat="1" applyFon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1476375</xdr:colOff>
      <xdr:row>28</xdr:row>
      <xdr:rowOff>38100</xdr:rowOff>
    </xdr:from>
    <xdr:to>
      <xdr:col>7</xdr:col>
      <xdr:colOff>1781175</xdr:colOff>
      <xdr:row>42</xdr:row>
      <xdr:rowOff>47625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5F2A1E8-80D8-B2E6-7ADE-730B0E4E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5372100"/>
          <a:ext cx="11906250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njelloun" refreshedDate="45947.733207291669" createdVersion="8" refreshedVersion="8" minRefreshableVersion="3" recordCount="30" xr:uid="{EC0206A7-39CE-428D-9D76-72E8887AD382}">
  <cacheSource type="worksheet">
    <worksheetSource ref="B1:AC31" sheet="Sheet1"/>
  </cacheSource>
  <cacheFields count="28">
    <cacheField name="Jour" numFmtId="0">
      <sharedItems count="6">
        <s v="Day 1"/>
        <s v="Day 10"/>
        <s v="Day 2"/>
        <s v="Day 3"/>
        <s v="Day 4"/>
        <s v="Day 5"/>
      </sharedItems>
    </cacheField>
    <cacheField name="Portefeuille" numFmtId="0">
      <sharedItems containsSemiMixedTypes="0" containsString="0" containsNumber="1" containsInteger="1" minValue="300154" maxValue="981017" count="10">
        <n v="300154"/>
        <n v="300155"/>
        <n v="300156"/>
        <n v="300193"/>
        <n v="300406"/>
        <n v="300647"/>
        <n v="389038"/>
        <n v="900200"/>
        <n v="981017"/>
        <n v="389037"/>
      </sharedItems>
    </cacheField>
    <cacheField name="Fonds_monetaires" numFmtId="0">
      <sharedItems count="4">
        <s v="GROUPAMA MONETAIRE- IC"/>
        <s v="GROUPAMA TRESORERIE I"/>
        <s v="GROUPAMA ULTRA SHORT TERM - IC"/>
        <s v="GROUPAMA ENTREPRISES I"/>
      </sharedItems>
    </cacheField>
    <cacheField name="Montant_vendu" numFmtId="0">
      <sharedItems containsSemiMixedTypes="0" containsString="0" containsNumber="1" minValue="-53898936.792012662" maxValue="-10302.670100003479"/>
    </cacheField>
    <cacheField name="Montant_vendu_deficit_cash" numFmtId="0">
      <sharedItems containsSemiMixedTypes="0" containsString="0" containsNumber="1" minValue="-32947737.970872499" maxValue="0"/>
    </cacheField>
    <cacheField name="Montant_vendu_futures" numFmtId="0">
      <sharedItems containsSemiMixedTypes="0" containsString="0" containsNumber="1" minValue="-47690840.332902357" maxValue="0"/>
    </cacheField>
    <cacheField name="Montant_vendu_options" numFmtId="0">
      <sharedItems containsSemiMixedTypes="0" containsString="0" containsNumber="1" minValue="-149745.21509999971" maxValue="0"/>
    </cacheField>
    <cacheField name="Montant_vendu_appel_collat" numFmtId="0">
      <sharedItems containsSemiMixedTypes="0" containsString="0" containsNumber="1" minValue="-53898936.792012662" maxValue="0"/>
    </cacheField>
    <cacheField name="Montant_vendu_passif" numFmtId="0">
      <sharedItems containsSemiMixedTypes="0" containsString="0" containsNumber="1" containsInteger="1" minValue="0" maxValue="0" count="1">
        <n v="0"/>
      </sharedItems>
    </cacheField>
    <cacheField name="Actif_net_portefeuille" numFmtId="0">
      <sharedItems containsSemiMixedTypes="0" containsString="0" containsNumber="1" minValue="1538915939.9481201" maxValue="6868736398.0757322" count="13">
        <n v="2725765629.478714"/>
        <n v="6868736398.0757322"/>
        <n v="1944596352.295027"/>
        <n v="2721214990.5756922"/>
        <n v="2721218254.8838611"/>
        <n v="6854697768.7645226"/>
        <n v="1559971645.267719"/>
        <n v="2718954169.8687539"/>
        <n v="2719406032.1009212"/>
        <n v="1538915939.9481201"/>
        <n v="2720310134.2304788"/>
        <n v="5655208697.4511137"/>
        <n v="6851891367.4626551"/>
      </sharedItems>
    </cacheField>
    <cacheField name="Vente_pct_actif_net" numFmtId="0">
      <sharedItems containsSemiMixedTypes="0" containsString="0" containsNumber="1" minValue="-3.0571607168358338E-2" maxValue="-3.7797343941026219E-6"/>
    </cacheField>
    <cacheField name="Vente_pct_deficit_cash" numFmtId="0">
      <sharedItems containsSemiMixedTypes="0" containsString="0" containsNumber="1" minValue="-9.6199925538507387E-3" maxValue="0"/>
    </cacheField>
    <cacheField name="Vente_pct_futures" numFmtId="0">
      <sharedItems containsSemiMixedTypes="0" containsString="0" containsNumber="1" minValue="-3.0571607168358338E-2" maxValue="0"/>
    </cacheField>
    <cacheField name="Vente_pct_options" numFmtId="0">
      <sharedItems containsSemiMixedTypes="0" containsString="0" containsNumber="1" minValue="-5.4936937160161327E-5" maxValue="0"/>
    </cacheField>
    <cacheField name="Vente_pct_appel_collat" numFmtId="0">
      <sharedItems containsSemiMixedTypes="0" containsString="0" containsNumber="1" minValue="-1.9813526448247999E-2" maxValue="0"/>
    </cacheField>
    <cacheField name="Vente_pct_passif" numFmtId="0">
      <sharedItems containsSemiMixedTypes="0" containsString="0" containsNumber="1" containsInteger="1" minValue="0" maxValue="0"/>
    </cacheField>
    <cacheField name="Montant_vendu_cumule" numFmtId="0">
      <sharedItems containsSemiMixedTypes="0" containsString="0" containsNumber="1" minValue="-53898936.792012662" maxValue="-10302.670100003479"/>
    </cacheField>
    <cacheField name="Montant_vendu_deficit_cash_cumule" numFmtId="0">
      <sharedItems containsSemiMixedTypes="0" containsString="0" containsNumber="1" minValue="-32947737.970872499" maxValue="0"/>
    </cacheField>
    <cacheField name="Montant_vendu_futures_cumule" numFmtId="0">
      <sharedItems containsSemiMixedTypes="0" containsString="0" containsNumber="1" minValue="-47690840.332902357" maxValue="0"/>
    </cacheField>
    <cacheField name="Montant_vendu_options_cumule" numFmtId="0">
      <sharedItems containsSemiMixedTypes="0" containsString="0" containsNumber="1" minValue="-371788.81467378518" maxValue="0"/>
    </cacheField>
    <cacheField name="Montant_vendu_appel_collat_cumule" numFmtId="0">
      <sharedItems containsSemiMixedTypes="0" containsString="0" containsNumber="1" minValue="-53898936.792012662" maxValue="0"/>
    </cacheField>
    <cacheField name="Vente_pct_passif_cumule" numFmtId="0">
      <sharedItems containsNonDate="0" containsString="0" containsBlank="1"/>
    </cacheField>
    <cacheField name="Vente_pct_cumule_actif_net" numFmtId="0">
      <sharedItems containsSemiMixedTypes="0" containsString="0" containsNumber="1" minValue="-3.237588277501173E-2" maxValue="-3.7797343941026219E-6"/>
    </cacheField>
    <cacheField name="Vente_pct_cumule_deficit_cash" numFmtId="0">
      <sharedItems containsSemiMixedTypes="0" containsString="0" containsNumber="1" minValue="-9.6360683352267971E-3" maxValue="0"/>
    </cacheField>
    <cacheField name="Vente_pct_cumule_futures" numFmtId="0">
      <sharedItems containsSemiMixedTypes="0" containsString="0" containsNumber="1" minValue="-3.0571607168358338E-2" maxValue="0"/>
    </cacheField>
    <cacheField name="Vente_pct_cumule_options" numFmtId="0">
      <sharedItems containsSemiMixedTypes="0" containsString="0" containsNumber="1" minValue="-1.3673964011380591E-4" maxValue="0"/>
    </cacheField>
    <cacheField name="Vente_pct_cumule_appel_collat" numFmtId="0">
      <sharedItems containsSemiMixedTypes="0" containsString="0" containsNumber="1" minValue="-1.9813526448247999E-2" maxValue="0"/>
    </cacheField>
    <cacheField name="Vente_pct_cumule_passif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-2633875.0976"/>
    <n v="0"/>
    <n v="-2484129.8824999998"/>
    <n v="-149745.21509999971"/>
    <n v="0"/>
    <x v="0"/>
    <x v="0"/>
    <n v="-9.6628817573861348E-4"/>
    <n v="0"/>
    <n v="-9.1135123857845194E-4"/>
    <n v="-5.4936937160161327E-5"/>
    <n v="0"/>
    <n v="0"/>
    <n v="-2633875.0976"/>
    <n v="0"/>
    <n v="-2484129.8824999998"/>
    <n v="-149745.21509999971"/>
    <n v="0"/>
    <m/>
    <n v="-9.6628817573861348E-4"/>
    <n v="0"/>
    <n v="-9.1135123857845194E-4"/>
    <n v="-5.4936937160161327E-5"/>
    <n v="0"/>
    <n v="0"/>
  </r>
  <r>
    <x v="0"/>
    <x v="1"/>
    <x v="0"/>
    <n v="-14003936.395369999"/>
    <n v="-2033373.969999999"/>
    <n v="-11771988.990894999"/>
    <n v="-64397.253100000322"/>
    <n v="-134176.1813750006"/>
    <x v="0"/>
    <x v="0"/>
    <n v="-5.1376157377287669E-3"/>
    <n v="-7.459826875830368E-4"/>
    <n v="-4.318782533458799E-3"/>
    <n v="-2.3625381582170699E-5"/>
    <n v="-4.9225135104759903E-5"/>
    <n v="0"/>
    <n v="-14003936.395369999"/>
    <n v="-2033373.969999999"/>
    <n v="-11771988.990894999"/>
    <n v="-64397.253100000322"/>
    <n v="-134176.1813750006"/>
    <m/>
    <n v="-5.1376157377287669E-3"/>
    <n v="-7.459826875830368E-4"/>
    <n v="-4.318782533458799E-3"/>
    <n v="-2.3625381582170699E-5"/>
    <n v="-4.9225135104759903E-5"/>
    <n v="0"/>
  </r>
  <r>
    <x v="0"/>
    <x v="2"/>
    <x v="0"/>
    <n v="-11089958.254450001"/>
    <n v="0"/>
    <n v="-10977539.453299999"/>
    <n v="0"/>
    <n v="-112418.8011500016"/>
    <x v="0"/>
    <x v="0"/>
    <n v="-4.0685663266547562E-3"/>
    <n v="0"/>
    <n v="-4.0273233085705122E-3"/>
    <n v="0"/>
    <n v="-4.1243018084244102E-5"/>
    <n v="0"/>
    <n v="-11089958.254450001"/>
    <n v="0"/>
    <n v="-10977539.453299999"/>
    <n v="0"/>
    <n v="-112418.8011500016"/>
    <m/>
    <n v="-4.0685663266547562E-3"/>
    <n v="0"/>
    <n v="-4.0273233085705122E-3"/>
    <n v="0"/>
    <n v="-4.1243018084244102E-5"/>
    <n v="0"/>
  </r>
  <r>
    <x v="0"/>
    <x v="3"/>
    <x v="0"/>
    <n v="-1089629.521200001"/>
    <n v="0"/>
    <n v="-1089629.521200001"/>
    <n v="0"/>
    <n v="0"/>
    <x v="0"/>
    <x v="0"/>
    <n v="-3.997517282541955E-4"/>
    <n v="0"/>
    <n v="-3.997517282541955E-4"/>
    <n v="0"/>
    <n v="0"/>
    <n v="0"/>
    <n v="-1089629.521200001"/>
    <n v="0"/>
    <n v="-1089629.521200001"/>
    <n v="0"/>
    <n v="0"/>
    <m/>
    <n v="-3.997517282541955E-4"/>
    <n v="0"/>
    <n v="-3.997517282541955E-4"/>
    <n v="0"/>
    <n v="0"/>
    <n v="0"/>
  </r>
  <r>
    <x v="0"/>
    <x v="4"/>
    <x v="1"/>
    <n v="-2585691.1062054001"/>
    <n v="-1929548.24"/>
    <n v="-656142.86620540009"/>
    <n v="0"/>
    <n v="0"/>
    <x v="0"/>
    <x v="1"/>
    <n v="-3.7644349067315761E-4"/>
    <n v="-2.8091749750952158E-4"/>
    <n v="-9.5525993163635985E-5"/>
    <n v="0"/>
    <n v="0"/>
    <n v="0"/>
    <n v="-2585691.1062054001"/>
    <n v="-1929548.24"/>
    <n v="-656142.86620540009"/>
    <n v="0"/>
    <n v="0"/>
    <m/>
    <n v="-3.7644349067315761E-4"/>
    <n v="-2.8091749750952158E-4"/>
    <n v="-9.5525993163635985E-5"/>
    <n v="0"/>
    <n v="0"/>
    <n v="0"/>
  </r>
  <r>
    <x v="0"/>
    <x v="4"/>
    <x v="2"/>
    <n v="-17777138.396364588"/>
    <n v="0"/>
    <n v="-17405460.86611459"/>
    <n v="0"/>
    <n v="-371677.53024999797"/>
    <x v="0"/>
    <x v="2"/>
    <n v="-9.1418141227015449E-3"/>
    <n v="0"/>
    <n v="-8.9506806106946241E-3"/>
    <n v="0"/>
    <n v="-1.9113351200692179E-4"/>
    <n v="0"/>
    <n v="-17777138.396364588"/>
    <n v="0"/>
    <n v="-17405460.86611459"/>
    <n v="0"/>
    <n v="-371677.53024999797"/>
    <m/>
    <n v="-9.1418141227015449E-3"/>
    <n v="0"/>
    <n v="-8.9506806106946241E-3"/>
    <n v="0"/>
    <n v="-1.9113351200692179E-4"/>
    <n v="0"/>
  </r>
  <r>
    <x v="0"/>
    <x v="5"/>
    <x v="0"/>
    <n v="-10302.670100003479"/>
    <n v="0"/>
    <n v="-10302.670100003479"/>
    <n v="0"/>
    <n v="0"/>
    <x v="0"/>
    <x v="0"/>
    <n v="-3.7797343941026219E-6"/>
    <n v="0"/>
    <n v="-3.7797343941026219E-6"/>
    <n v="0"/>
    <n v="0"/>
    <n v="0"/>
    <n v="-10302.670100003479"/>
    <n v="0"/>
    <n v="-10302.670100003479"/>
    <n v="0"/>
    <n v="0"/>
    <m/>
    <n v="-3.7797343941026219E-6"/>
    <n v="0"/>
    <n v="-3.7797343941026219E-6"/>
    <n v="0"/>
    <n v="0"/>
    <n v="0"/>
  </r>
  <r>
    <x v="0"/>
    <x v="6"/>
    <x v="0"/>
    <n v="-26221845.059127498"/>
    <n v="-26221845.059127498"/>
    <n v="0"/>
    <n v="0"/>
    <n v="0"/>
    <x v="0"/>
    <x v="0"/>
    <n v="-9.6199925538507387E-3"/>
    <n v="-9.6199925538507387E-3"/>
    <n v="0"/>
    <n v="0"/>
    <n v="0"/>
    <n v="0"/>
    <n v="-26221845.059127498"/>
    <n v="-26221845.059127498"/>
    <n v="0"/>
    <n v="0"/>
    <n v="0"/>
    <m/>
    <n v="-9.6199925538507387E-3"/>
    <n v="-9.6199925538507387E-3"/>
    <n v="0"/>
    <n v="0"/>
    <n v="0"/>
    <n v="0"/>
  </r>
  <r>
    <x v="0"/>
    <x v="6"/>
    <x v="1"/>
    <n v="-32947737.970872499"/>
    <n v="-32947737.970872499"/>
    <n v="0"/>
    <n v="0"/>
    <n v="0"/>
    <x v="0"/>
    <x v="1"/>
    <n v="-4.7967684391124346E-3"/>
    <n v="-4.7967684391124346E-3"/>
    <n v="0"/>
    <n v="0"/>
    <n v="0"/>
    <n v="0"/>
    <n v="-32947737.970872499"/>
    <n v="-32947737.970872499"/>
    <n v="0"/>
    <n v="0"/>
    <n v="0"/>
    <m/>
    <n v="-4.7967684391124346E-3"/>
    <n v="-4.7967684391124346E-3"/>
    <n v="0"/>
    <n v="0"/>
    <n v="0"/>
    <n v="0"/>
  </r>
  <r>
    <x v="0"/>
    <x v="7"/>
    <x v="2"/>
    <n v="-2814618.7866275008"/>
    <n v="0"/>
    <n v="0"/>
    <n v="0"/>
    <n v="-2814618.7866275008"/>
    <x v="0"/>
    <x v="2"/>
    <n v="-1.4474051559881141E-3"/>
    <n v="0"/>
    <n v="0"/>
    <n v="0"/>
    <n v="-1.4474051559881141E-3"/>
    <n v="0"/>
    <n v="-2814618.7866275008"/>
    <n v="0"/>
    <n v="0"/>
    <n v="0"/>
    <n v="-2814618.7866275008"/>
    <m/>
    <n v="-1.4474051559881141E-3"/>
    <n v="0"/>
    <n v="0"/>
    <n v="0"/>
    <n v="-1.4474051559881141E-3"/>
    <n v="0"/>
  </r>
  <r>
    <x v="0"/>
    <x v="8"/>
    <x v="2"/>
    <n v="-7356511.6438814774"/>
    <n v="-1603696.670000002"/>
    <n v="0"/>
    <n v="0"/>
    <n v="-5752814.9738814756"/>
    <x v="0"/>
    <x v="2"/>
    <n v="-3.783053298027258E-3"/>
    <n v="-8.246938590146522E-4"/>
    <n v="0"/>
    <n v="0"/>
    <n v="-2.958359439012606E-3"/>
    <n v="0"/>
    <n v="-7356511.6438814774"/>
    <n v="-1603696.670000002"/>
    <n v="0"/>
    <n v="0"/>
    <n v="-5752814.9738814756"/>
    <m/>
    <n v="-3.783053298027258E-3"/>
    <n v="-8.246938590146522E-4"/>
    <n v="0"/>
    <n v="0"/>
    <n v="-2.958359439012606E-3"/>
    <n v="0"/>
  </r>
  <r>
    <x v="1"/>
    <x v="2"/>
    <x v="0"/>
    <n v="-29352.473703704771"/>
    <n v="0"/>
    <n v="0"/>
    <n v="-29352.473703704771"/>
    <n v="0"/>
    <x v="0"/>
    <x v="3"/>
    <n v="-1.078653241488099E-5"/>
    <n v="0"/>
    <n v="0"/>
    <n v="-1.078653241488099E-5"/>
    <n v="0"/>
    <n v="0"/>
    <n v="-11119310.728153709"/>
    <n v="0"/>
    <n v="-10977539.453299999"/>
    <n v="-29352.473703704771"/>
    <n v="-112418.8011500016"/>
    <m/>
    <n v="-4.0861566493874627E-3"/>
    <n v="0"/>
    <n v="-4.0340581289307186E-3"/>
    <n v="-1.078653241488099E-5"/>
    <n v="-4.13119880418631E-5"/>
    <n v="0"/>
  </r>
  <r>
    <x v="2"/>
    <x v="0"/>
    <x v="0"/>
    <n v="-148474.81929615329"/>
    <n v="0"/>
    <n v="0"/>
    <n v="-148474.81929615329"/>
    <n v="0"/>
    <x v="0"/>
    <x v="4"/>
    <n v="-5.456189301599774E-5"/>
    <n v="0"/>
    <n v="0"/>
    <n v="-5.456189301599774E-5"/>
    <n v="0"/>
    <n v="0"/>
    <n v="-2782349.9168961528"/>
    <n v="0"/>
    <n v="-2484129.8824999998"/>
    <n v="-298220.034396153"/>
    <n v="0"/>
    <m/>
    <n v="-1.0224648140231231E-3"/>
    <n v="0"/>
    <n v="-9.1287417980591933E-4"/>
    <n v="-1.095906342172031E-4"/>
    <n v="0"/>
    <n v="0"/>
  </r>
  <r>
    <x v="2"/>
    <x v="1"/>
    <x v="0"/>
    <n v="-60938.448014102883"/>
    <n v="0"/>
    <n v="0"/>
    <n v="-60938.448014102883"/>
    <n v="0"/>
    <x v="0"/>
    <x v="4"/>
    <n v="-2.2393811266235119E-5"/>
    <n v="0"/>
    <n v="0"/>
    <n v="-2.2393811266235119E-5"/>
    <n v="0"/>
    <n v="0"/>
    <n v="-14064874.8433841"/>
    <n v="-2033373.969999999"/>
    <n v="-11771988.990894999"/>
    <n v="-125335.7011141032"/>
    <n v="-134176.1813750006"/>
    <m/>
    <n v="-5.1685949181552804E-3"/>
    <n v="-7.4722928465977879E-4"/>
    <n v="-4.3259995664689591E-3"/>
    <n v="-4.6058672761421847E-5"/>
    <n v="-4.9307394265120091E-5"/>
    <n v="0"/>
  </r>
  <r>
    <x v="2"/>
    <x v="3"/>
    <x v="0"/>
    <n v="-29862448.805230752"/>
    <n v="0"/>
    <n v="0"/>
    <n v="0"/>
    <n v="-29862448.805230752"/>
    <x v="0"/>
    <x v="4"/>
    <n v="-1.097392638449181E-2"/>
    <n v="0"/>
    <n v="0"/>
    <n v="0"/>
    <n v="-1.097392638449181E-2"/>
    <n v="0"/>
    <n v="-30952078.326430749"/>
    <n v="0"/>
    <n v="-1089629.521200001"/>
    <n v="0"/>
    <n v="-29862448.805230752"/>
    <m/>
    <n v="-1.1374346130039381E-2"/>
    <n v="0"/>
    <n v="-4.0041974554757111E-4"/>
    <n v="0"/>
    <n v="-1.097392638449181E-2"/>
    <n v="0"/>
  </r>
  <r>
    <x v="2"/>
    <x v="5"/>
    <x v="0"/>
    <n v="-14329057.36114829"/>
    <n v="0"/>
    <n v="0"/>
    <n v="0"/>
    <n v="-14329057.36114829"/>
    <x v="0"/>
    <x v="4"/>
    <n v="-5.2656773617593706E-3"/>
    <n v="0"/>
    <n v="0"/>
    <n v="0"/>
    <n v="-5.2656773617593706E-3"/>
    <n v="0"/>
    <n v="-14339360.03124829"/>
    <n v="0"/>
    <n v="-10302.670100003479"/>
    <n v="0"/>
    <n v="-14329057.36114829"/>
    <m/>
    <n v="-5.2694634123936828E-3"/>
    <n v="0"/>
    <n v="-3.7860506343116479E-6"/>
    <n v="0"/>
    <n v="-5.2656773617593706E-3"/>
    <n v="0"/>
  </r>
  <r>
    <x v="2"/>
    <x v="9"/>
    <x v="1"/>
    <n v="-555422.47068689764"/>
    <n v="0"/>
    <n v="0"/>
    <n v="0"/>
    <n v="-555422.47068689764"/>
    <x v="0"/>
    <x v="5"/>
    <n v="-8.1028002900119974E-5"/>
    <n v="0"/>
    <n v="0"/>
    <n v="0"/>
    <n v="-8.1028002900119974E-5"/>
    <n v="0"/>
    <n v="-555422.47068689764"/>
    <n v="0"/>
    <n v="0"/>
    <n v="0"/>
    <n v="-555422.47068689764"/>
    <m/>
    <n v="-8.1028002900119974E-5"/>
    <n v="0"/>
    <n v="0"/>
    <n v="0"/>
    <n v="-8.1028002900119974E-5"/>
    <n v="0"/>
  </r>
  <r>
    <x v="2"/>
    <x v="6"/>
    <x v="0"/>
    <n v="-6734212.5518226055"/>
    <n v="0"/>
    <n v="-6734212.5518226055"/>
    <n v="0"/>
    <n v="0"/>
    <x v="0"/>
    <x v="4"/>
    <n v="-2.474705047908777E-3"/>
    <n v="0"/>
    <n v="-2.474705047908777E-3"/>
    <n v="0"/>
    <n v="0"/>
    <n v="0"/>
    <n v="-32956057.610950101"/>
    <n v="-26221845.059127498"/>
    <n v="-6734212.5518226055"/>
    <n v="0"/>
    <n v="0"/>
    <m/>
    <n v="-1.2110773383135581E-2"/>
    <n v="-9.6360683352267971E-3"/>
    <n v="-2.474705047908777E-3"/>
    <n v="0"/>
    <n v="0"/>
    <n v="0"/>
  </r>
  <r>
    <x v="2"/>
    <x v="7"/>
    <x v="2"/>
    <n v="-47690840.332902357"/>
    <n v="0"/>
    <n v="-47690840.332902357"/>
    <n v="0"/>
    <n v="0"/>
    <x v="0"/>
    <x v="6"/>
    <n v="-3.0571607168358338E-2"/>
    <n v="0"/>
    <n v="-3.0571607168358338E-2"/>
    <n v="0"/>
    <n v="0"/>
    <n v="0"/>
    <n v="-50505459.119529858"/>
    <n v="0"/>
    <n v="-47690840.332902357"/>
    <n v="0"/>
    <n v="-2814618.7866275008"/>
    <m/>
    <n v="-3.237588277501173E-2"/>
    <n v="0"/>
    <n v="-3.0571607168358338E-2"/>
    <n v="0"/>
    <n v="-1.80427560665339E-3"/>
    <n v="0"/>
  </r>
  <r>
    <x v="2"/>
    <x v="8"/>
    <x v="2"/>
    <n v="-32221565.462926179"/>
    <n v="0"/>
    <n v="-32221565.462926179"/>
    <n v="0"/>
    <n v="0"/>
    <x v="0"/>
    <x v="6"/>
    <n v="-2.065522508737419E-2"/>
    <n v="0"/>
    <n v="-2.065522508737419E-2"/>
    <n v="0"/>
    <n v="0"/>
    <n v="0"/>
    <n v="-39578077.106807657"/>
    <n v="-1603696.670000002"/>
    <n v="-32221565.462926179"/>
    <n v="0"/>
    <n v="-5752814.9738814756"/>
    <m/>
    <n v="-2.5371023394476729E-2"/>
    <n v="-1.0280293714728249E-3"/>
    <n v="-2.065522508737419E-2"/>
    <n v="0"/>
    <n v="-3.6877689356297171E-3"/>
    <n v="0"/>
  </r>
  <r>
    <x v="3"/>
    <x v="0"/>
    <x v="0"/>
    <n v="-73568.780277632177"/>
    <n v="0"/>
    <n v="0"/>
    <n v="-73568.780277632177"/>
    <n v="0"/>
    <x v="0"/>
    <x v="7"/>
    <n v="-2.7057749296739119E-5"/>
    <n v="0"/>
    <n v="0"/>
    <n v="-2.7057749296739119E-5"/>
    <n v="0"/>
    <n v="0"/>
    <n v="-2855918.697173785"/>
    <n v="0"/>
    <n v="-2484129.8824999998"/>
    <n v="-371788.81467378518"/>
    <n v="0"/>
    <m/>
    <n v="-1.050373974237176E-3"/>
    <n v="0"/>
    <n v="-9.1363433412337022E-4"/>
    <n v="-1.3673964011380591E-4"/>
    <n v="0"/>
    <n v="0"/>
  </r>
  <r>
    <x v="3"/>
    <x v="1"/>
    <x v="0"/>
    <n v="-28648.80027763173"/>
    <n v="0"/>
    <n v="0"/>
    <n v="-28648.80027763173"/>
    <n v="0"/>
    <x v="0"/>
    <x v="7"/>
    <n v="-1.053669848323138E-5"/>
    <n v="0"/>
    <n v="0"/>
    <n v="-1.053669848323138E-5"/>
    <n v="0"/>
    <n v="0"/>
    <n v="-14093523.64366173"/>
    <n v="-2033373.969999999"/>
    <n v="-11771988.990894999"/>
    <n v="-153984.5013917349"/>
    <n v="-134176.1813750006"/>
    <m/>
    <n v="-5.1834355282060684E-3"/>
    <n v="-7.4785150574941523E-4"/>
    <n v="-4.3296018452062546E-3"/>
    <n v="-5.6633724502670773E-5"/>
    <n v="-4.9348452747725943E-5"/>
    <n v="0"/>
  </r>
  <r>
    <x v="3"/>
    <x v="5"/>
    <x v="0"/>
    <n v="-29260529.385619812"/>
    <n v="0"/>
    <n v="0"/>
    <n v="0"/>
    <n v="-29260529.385619812"/>
    <x v="0"/>
    <x v="7"/>
    <n v="-1.076168539723207E-2"/>
    <n v="0"/>
    <n v="0"/>
    <n v="0"/>
    <n v="-1.076168539723207E-2"/>
    <n v="0"/>
    <n v="-43599889.416868113"/>
    <n v="0"/>
    <n v="-10302.670100003479"/>
    <n v="0"/>
    <n v="-43589586.746768102"/>
    <m/>
    <n v="-1.6035536714829109E-2"/>
    <n v="0"/>
    <n v="-3.78920329521435E-6"/>
    <n v="0"/>
    <n v="-1.6031747511533891E-2"/>
    <n v="0"/>
  </r>
  <r>
    <x v="4"/>
    <x v="1"/>
    <x v="0"/>
    <n v="-3965891.2958663069"/>
    <n v="0"/>
    <n v="0"/>
    <n v="0"/>
    <n v="-3965891.2958663069"/>
    <x v="0"/>
    <x v="8"/>
    <n v="-1.4583667348867331E-3"/>
    <n v="0"/>
    <n v="0"/>
    <n v="0"/>
    <n v="-1.4583667348867331E-3"/>
    <n v="0"/>
    <n v="-18059414.939528041"/>
    <n v="-2033373.969999999"/>
    <n v="-11771988.990894999"/>
    <n v="-153984.5013917349"/>
    <n v="-4100067.477241307"/>
    <m/>
    <n v="-6.640940972531398E-3"/>
    <n v="-7.4772724116857351E-4"/>
    <n v="-4.3288824294474186E-3"/>
    <n v="-5.6624314123761689E-5"/>
    <n v="-1.507706987791644E-3"/>
    <n v="0"/>
  </r>
  <r>
    <x v="4"/>
    <x v="2"/>
    <x v="0"/>
    <n v="-3384242.2787192171"/>
    <n v="0"/>
    <n v="0"/>
    <n v="-14793.646746665239"/>
    <n v="-3369448.6319725509"/>
    <x v="0"/>
    <x v="8"/>
    <n v="-1.2444784775683781E-3"/>
    <n v="0"/>
    <n v="0"/>
    <n v="-5.4400286577419141E-6"/>
    <n v="-1.239038448910635E-3"/>
    <n v="0"/>
    <n v="-14503553.00687292"/>
    <n v="0"/>
    <n v="-10977539.453299999"/>
    <n v="-44146.120450370006"/>
    <n v="-3481867.433122552"/>
    <m/>
    <n v="-5.3333532527571718E-3"/>
    <n v="0"/>
    <n v="-4.0367415986126663E-3"/>
    <n v="-1.623373631199318E-5"/>
    <n v="-1.280377917832513E-3"/>
    <n v="0"/>
  </r>
  <r>
    <x v="4"/>
    <x v="4"/>
    <x v="2"/>
    <n v="-7924998.709720552"/>
    <n v="0"/>
    <n v="0"/>
    <n v="0"/>
    <n v="-7924998.709720552"/>
    <x v="0"/>
    <x v="9"/>
    <n v="-5.1497281326410328E-3"/>
    <n v="0"/>
    <n v="0"/>
    <n v="0"/>
    <n v="-5.1497281326410328E-3"/>
    <n v="0"/>
    <n v="-25702137.10608514"/>
    <n v="0"/>
    <n v="-17405460.86611459"/>
    <n v="0"/>
    <n v="-8296676.2399705499"/>
    <m/>
    <n v="-1.6701456160725461E-2"/>
    <n v="0"/>
    <n v="-1.131020896872467E-2"/>
    <n v="0"/>
    <n v="-5.3912471920007842E-3"/>
    <n v="0"/>
  </r>
  <r>
    <x v="5"/>
    <x v="2"/>
    <x v="0"/>
    <n v="-29508.60388297588"/>
    <n v="0"/>
    <n v="0"/>
    <n v="-29508.60388297588"/>
    <n v="0"/>
    <x v="0"/>
    <x v="10"/>
    <n v="-1.084751459462664E-5"/>
    <n v="0"/>
    <n v="0"/>
    <n v="-1.084751459462664E-5"/>
    <n v="0"/>
    <n v="0"/>
    <n v="-14533061.6107559"/>
    <n v="0"/>
    <n v="-10977539.453299999"/>
    <n v="-73654.72433334589"/>
    <n v="-3481867.433122552"/>
    <m/>
    <n v="-5.3424282135636006E-3"/>
    <n v="0"/>
    <n v="-4.0353999770711161E-3"/>
    <n v="-2.707585558224645E-5"/>
    <n v="-1.2799523809102389E-3"/>
    <n v="0"/>
  </r>
  <r>
    <x v="5"/>
    <x v="9"/>
    <x v="3"/>
    <n v="-48612.587261099667"/>
    <n v="0"/>
    <n v="0"/>
    <n v="0"/>
    <n v="-48612.587261099667"/>
    <x v="0"/>
    <x v="11"/>
    <n v="-8.5960730826804107E-6"/>
    <n v="0"/>
    <n v="0"/>
    <n v="0"/>
    <n v="-8.5960730826804107E-6"/>
    <n v="0"/>
    <n v="-48612.587261099667"/>
    <n v="0"/>
    <n v="0"/>
    <n v="0"/>
    <n v="-48612.587261099667"/>
    <m/>
    <n v="-8.5960730826804107E-6"/>
    <n v="0"/>
    <n v="0"/>
    <n v="0"/>
    <n v="-8.5960730826804107E-6"/>
    <n v="0"/>
  </r>
  <r>
    <x v="5"/>
    <x v="9"/>
    <x v="0"/>
    <n v="-53898936.792012662"/>
    <n v="0"/>
    <n v="0"/>
    <n v="0"/>
    <n v="-53898936.792012662"/>
    <x v="0"/>
    <x v="10"/>
    <n v="-1.9813526448247999E-2"/>
    <n v="0"/>
    <n v="0"/>
    <n v="0"/>
    <n v="-1.9813526448247999E-2"/>
    <n v="0"/>
    <n v="-53898936.792012662"/>
    <n v="0"/>
    <n v="0"/>
    <n v="0"/>
    <n v="-53898936.792012662"/>
    <m/>
    <n v="-1.9813526448247999E-2"/>
    <n v="0"/>
    <n v="0"/>
    <n v="0"/>
    <n v="-1.9813526448247999E-2"/>
    <n v="0"/>
  </r>
  <r>
    <x v="5"/>
    <x v="9"/>
    <x v="1"/>
    <n v="-53289402.887839772"/>
    <n v="0"/>
    <n v="0"/>
    <n v="0"/>
    <n v="-53289402.887839772"/>
    <x v="0"/>
    <x v="12"/>
    <n v="-7.7773274603992349E-3"/>
    <n v="0"/>
    <n v="0"/>
    <n v="0"/>
    <n v="-7.7773274603992349E-3"/>
    <n v="0"/>
    <n v="-53844825.358526669"/>
    <n v="0"/>
    <n v="0"/>
    <n v="0"/>
    <n v="-53844825.358526669"/>
    <m/>
    <n v="-7.8583886507917755E-3"/>
    <n v="0"/>
    <n v="0"/>
    <n v="0"/>
    <n v="-7.8583886507917755E-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895CB-F56D-4E4F-9976-E1109BBACE79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1:E32" firstHeaderRow="0" firstDataRow="1" firstDataCol="3"/>
  <pivotFields count="28">
    <pivotField axis="axisRow" compact="0" outline="0" showAll="0" sortType="ascending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9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3">
        <item x="9"/>
        <item x="6"/>
        <item x="2"/>
        <item x="7"/>
        <item x="8"/>
        <item x="10"/>
        <item x="3"/>
        <item x="4"/>
        <item x="0"/>
        <item x="11"/>
        <item x="12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1">
    <i>
      <x/>
      <x v="1"/>
      <x/>
    </i>
    <i r="2">
      <x v="1"/>
    </i>
    <i r="2">
      <x v="2"/>
    </i>
    <i r="2">
      <x v="3"/>
    </i>
    <i r="2">
      <x v="5"/>
    </i>
    <i r="2">
      <x v="7"/>
    </i>
    <i r="1">
      <x v="2"/>
      <x v="4"/>
    </i>
    <i r="2">
      <x v="7"/>
    </i>
    <i r="1">
      <x v="3"/>
      <x v="4"/>
    </i>
    <i r="2">
      <x v="8"/>
    </i>
    <i r="2">
      <x v="9"/>
    </i>
    <i>
      <x v="1"/>
      <x v="1"/>
      <x v="2"/>
    </i>
    <i>
      <x v="2"/>
      <x v="1"/>
      <x/>
    </i>
    <i r="2">
      <x v="1"/>
    </i>
    <i r="2">
      <x v="3"/>
    </i>
    <i r="2">
      <x v="5"/>
    </i>
    <i r="2">
      <x v="7"/>
    </i>
    <i r="1">
      <x v="2"/>
      <x v="6"/>
    </i>
    <i r="1">
      <x v="3"/>
      <x v="8"/>
    </i>
    <i r="2">
      <x v="9"/>
    </i>
    <i>
      <x v="3"/>
      <x v="1"/>
      <x/>
    </i>
    <i r="2">
      <x v="1"/>
    </i>
    <i r="2">
      <x v="5"/>
    </i>
    <i>
      <x v="4"/>
      <x v="1"/>
      <x v="1"/>
    </i>
    <i r="2">
      <x v="2"/>
    </i>
    <i r="1">
      <x v="3"/>
      <x v="4"/>
    </i>
    <i>
      <x v="5"/>
      <x/>
      <x v="6"/>
    </i>
    <i r="1">
      <x v="1"/>
      <x v="2"/>
    </i>
    <i r="2">
      <x v="6"/>
    </i>
    <i r="1">
      <x v="2"/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_vendu" fld="3" baseField="0" baseItem="0" numFmtId="4"/>
    <dataField name="Moyenne de Actif_net_portefeuille" fld="9" subtotal="average" baseField="2" baseItem="1"/>
  </dataFields>
  <formats count="6">
    <format dxfId="11">
      <pivotArea outline="0" collapsedLevelsAreSubtotals="1" fieldPosition="0"/>
    </format>
    <format dxfId="10">
      <pivotArea field="9" type="button" dataOnly="0" labelOnly="1" outline="0"/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FEC40-F4B6-4522-92C0-2D61EF8A348F}" name="Tableau1" displayName="Tableau1" ref="A46:F58" totalsRowShown="0" headerRowDxfId="5">
  <sortState xmlns:xlrd2="http://schemas.microsoft.com/office/spreadsheetml/2017/richdata2" ref="A47:F58">
    <sortCondition ref="A46:A58"/>
  </sortState>
  <tableColumns count="6">
    <tableColumn id="1" xr3:uid="{FF24BF89-F266-4967-8792-CAFE20E53488}" name="Jour" dataDxfId="4"/>
    <tableColumn id="2" xr3:uid="{32809462-F39C-48FA-9C9C-39B97045A32E}" name="Fonds monétaire"/>
    <tableColumn id="3" xr3:uid="{645C9A07-1BD7-4111-9E92-34F7C2A1EE3A}" name="Montant vendu" dataDxfId="3"/>
    <tableColumn id="4" xr3:uid="{7AF33BB5-8563-4D3A-AA2A-C1D96F5802B4}" name="Actif net du portefeuille  (stressé)" dataDxfId="2"/>
    <tableColumn id="6" xr3:uid="{C4908701-FF2D-408C-97C9-34C9EF4B3AE1}" name="Actif net du portefeuille" dataDxfId="1"/>
    <tableColumn id="5" xr3:uid="{EE52ED79-9764-4CAB-BFB7-06DAB15DC7C1}" name="Pourcentage de rachat" dataDxfId="0" dataCellStyle="Pourcentag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opLeftCell="B1" workbookViewId="0">
      <selection activeCell="B1" sqref="A1:XFD1"/>
    </sheetView>
  </sheetViews>
  <sheetFormatPr baseColWidth="10" defaultColWidth="9.140625" defaultRowHeight="15" x14ac:dyDescent="0.25"/>
  <cols>
    <col min="1" max="1" width="18.140625" bestFit="1" customWidth="1"/>
    <col min="4" max="4" width="33" bestFit="1" customWidth="1"/>
    <col min="5" max="5" width="20" style="4" bestFit="1" customWidth="1"/>
    <col min="6" max="6" width="31.85546875" style="4" bestFit="1" customWidth="1"/>
    <col min="7" max="7" width="27.5703125" style="4" bestFit="1" customWidth="1"/>
    <col min="8" max="8" width="27.85546875" style="4" bestFit="1" customWidth="1"/>
    <col min="9" max="9" width="13.140625" style="4" bestFit="1" customWidth="1"/>
    <col min="10" max="10" width="9.28515625" style="4" bestFit="1" customWidth="1"/>
    <col min="11" max="11" width="14.85546875" style="4" bestFit="1" customWidth="1"/>
    <col min="12" max="17" width="9.28515625" style="4" bestFit="1" customWidth="1"/>
    <col min="18" max="20" width="13.140625" style="4" bestFit="1" customWidth="1"/>
    <col min="21" max="21" width="10.7109375" style="4" bestFit="1" customWidth="1"/>
    <col min="22" max="22" width="13.140625" style="4" bestFit="1" customWidth="1"/>
    <col min="23" max="23" width="9.140625" style="4"/>
    <col min="24" max="26" width="9.28515625" style="4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>
        <v>45947</v>
      </c>
      <c r="B2" t="s">
        <v>29</v>
      </c>
      <c r="C2">
        <v>300154</v>
      </c>
      <c r="D2" t="s">
        <v>30</v>
      </c>
      <c r="E2" s="4">
        <v>-2633875.0976</v>
      </c>
      <c r="F2" s="4">
        <v>0</v>
      </c>
      <c r="G2" s="4">
        <v>-2484129.8824999998</v>
      </c>
      <c r="H2" s="4">
        <v>-149745.21509999971</v>
      </c>
      <c r="I2" s="4">
        <v>0</v>
      </c>
      <c r="J2" s="4">
        <v>0</v>
      </c>
      <c r="K2" s="4">
        <v>2725765629.478714</v>
      </c>
      <c r="L2" s="4">
        <v>-9.6628817573861348E-4</v>
      </c>
      <c r="M2" s="4">
        <v>0</v>
      </c>
      <c r="N2" s="4">
        <v>-9.1135123857845194E-4</v>
      </c>
      <c r="O2" s="4">
        <v>-5.4936937160161327E-5</v>
      </c>
      <c r="P2" s="4">
        <v>0</v>
      </c>
      <c r="Q2" s="4">
        <v>0</v>
      </c>
      <c r="R2" s="4">
        <v>-2633875.0976</v>
      </c>
      <c r="S2" s="4">
        <v>0</v>
      </c>
      <c r="T2" s="4">
        <v>-2484129.8824999998</v>
      </c>
      <c r="U2" s="4">
        <v>-149745.21509999971</v>
      </c>
      <c r="V2" s="4">
        <v>0</v>
      </c>
      <c r="X2" s="4">
        <v>-9.6628817573861348E-4</v>
      </c>
      <c r="Y2" s="4">
        <v>0</v>
      </c>
      <c r="Z2" s="4">
        <v>-9.1135123857845194E-4</v>
      </c>
      <c r="AA2">
        <v>-5.4936937160161327E-5</v>
      </c>
      <c r="AB2">
        <v>0</v>
      </c>
      <c r="AC2">
        <v>0</v>
      </c>
    </row>
    <row r="3" spans="1:29" x14ac:dyDescent="0.25">
      <c r="A3" s="2">
        <v>45947</v>
      </c>
      <c r="B3" t="s">
        <v>29</v>
      </c>
      <c r="C3">
        <v>300155</v>
      </c>
      <c r="D3" t="s">
        <v>30</v>
      </c>
      <c r="E3" s="4">
        <v>-14003936.395369999</v>
      </c>
      <c r="F3" s="4">
        <v>-2033373.969999999</v>
      </c>
      <c r="G3" s="4">
        <v>-11771988.990894999</v>
      </c>
      <c r="H3" s="4">
        <v>-64397.253100000322</v>
      </c>
      <c r="I3" s="4">
        <v>-134176.1813750006</v>
      </c>
      <c r="J3" s="4">
        <v>0</v>
      </c>
      <c r="K3" s="4">
        <v>2725765629.478714</v>
      </c>
      <c r="L3" s="4">
        <v>-5.1376157377287669E-3</v>
      </c>
      <c r="M3" s="4">
        <v>-7.459826875830368E-4</v>
      </c>
      <c r="N3" s="4">
        <v>-4.318782533458799E-3</v>
      </c>
      <c r="O3" s="4">
        <v>-2.3625381582170699E-5</v>
      </c>
      <c r="P3" s="4">
        <v>-4.9225135104759903E-5</v>
      </c>
      <c r="Q3" s="4">
        <v>0</v>
      </c>
      <c r="R3" s="4">
        <v>-14003936.395369999</v>
      </c>
      <c r="S3" s="4">
        <v>-2033373.969999999</v>
      </c>
      <c r="T3" s="4">
        <v>-11771988.990894999</v>
      </c>
      <c r="U3" s="4">
        <v>-64397.253100000322</v>
      </c>
      <c r="V3" s="4">
        <v>-134176.1813750006</v>
      </c>
      <c r="X3" s="4">
        <v>-5.1376157377287669E-3</v>
      </c>
      <c r="Y3" s="4">
        <v>-7.459826875830368E-4</v>
      </c>
      <c r="Z3" s="4">
        <v>-4.318782533458799E-3</v>
      </c>
      <c r="AA3">
        <v>-2.3625381582170699E-5</v>
      </c>
      <c r="AB3">
        <v>-4.9225135104759903E-5</v>
      </c>
      <c r="AC3">
        <v>0</v>
      </c>
    </row>
    <row r="4" spans="1:29" x14ac:dyDescent="0.25">
      <c r="A4" s="2">
        <v>45947</v>
      </c>
      <c r="B4" t="s">
        <v>29</v>
      </c>
      <c r="C4">
        <v>300156</v>
      </c>
      <c r="D4" t="s">
        <v>30</v>
      </c>
      <c r="E4" s="4">
        <v>-11089958.254450001</v>
      </c>
      <c r="F4" s="4">
        <v>0</v>
      </c>
      <c r="G4" s="4">
        <v>-10977539.453299999</v>
      </c>
      <c r="H4" s="4">
        <v>0</v>
      </c>
      <c r="I4" s="4">
        <v>-112418.8011500016</v>
      </c>
      <c r="J4" s="4">
        <v>0</v>
      </c>
      <c r="K4" s="4">
        <v>2725765629.478714</v>
      </c>
      <c r="L4" s="4">
        <v>-4.0685663266547562E-3</v>
      </c>
      <c r="M4" s="4">
        <v>0</v>
      </c>
      <c r="N4" s="4">
        <v>-4.0273233085705122E-3</v>
      </c>
      <c r="O4" s="4">
        <v>0</v>
      </c>
      <c r="P4" s="4">
        <v>-4.1243018084244102E-5</v>
      </c>
      <c r="Q4" s="4">
        <v>0</v>
      </c>
      <c r="R4" s="4">
        <v>-11089958.254450001</v>
      </c>
      <c r="S4" s="4">
        <v>0</v>
      </c>
      <c r="T4" s="4">
        <v>-10977539.453299999</v>
      </c>
      <c r="U4" s="4">
        <v>0</v>
      </c>
      <c r="V4" s="4">
        <v>-112418.8011500016</v>
      </c>
      <c r="X4" s="4">
        <v>-4.0685663266547562E-3</v>
      </c>
      <c r="Y4" s="4">
        <v>0</v>
      </c>
      <c r="Z4" s="4">
        <v>-4.0273233085705122E-3</v>
      </c>
      <c r="AA4">
        <v>0</v>
      </c>
      <c r="AB4">
        <v>-4.1243018084244102E-5</v>
      </c>
      <c r="AC4">
        <v>0</v>
      </c>
    </row>
    <row r="5" spans="1:29" x14ac:dyDescent="0.25">
      <c r="A5" s="2">
        <v>45947</v>
      </c>
      <c r="B5" t="s">
        <v>29</v>
      </c>
      <c r="C5">
        <v>300193</v>
      </c>
      <c r="D5" t="s">
        <v>30</v>
      </c>
      <c r="E5" s="4">
        <v>-1089629.521200001</v>
      </c>
      <c r="F5" s="4">
        <v>0</v>
      </c>
      <c r="G5" s="4">
        <v>-1089629.521200001</v>
      </c>
      <c r="H5" s="4">
        <v>0</v>
      </c>
      <c r="I5" s="4">
        <v>0</v>
      </c>
      <c r="J5" s="4">
        <v>0</v>
      </c>
      <c r="K5" s="4">
        <v>2725765629.478714</v>
      </c>
      <c r="L5" s="4">
        <v>-3.997517282541955E-4</v>
      </c>
      <c r="M5" s="4">
        <v>0</v>
      </c>
      <c r="N5" s="4">
        <v>-3.997517282541955E-4</v>
      </c>
      <c r="O5" s="4">
        <v>0</v>
      </c>
      <c r="P5" s="4">
        <v>0</v>
      </c>
      <c r="Q5" s="4">
        <v>0</v>
      </c>
      <c r="R5" s="4">
        <v>-1089629.521200001</v>
      </c>
      <c r="S5" s="4">
        <v>0</v>
      </c>
      <c r="T5" s="4">
        <v>-1089629.521200001</v>
      </c>
      <c r="U5" s="4">
        <v>0</v>
      </c>
      <c r="V5" s="4">
        <v>0</v>
      </c>
      <c r="X5" s="4">
        <v>-3.997517282541955E-4</v>
      </c>
      <c r="Y5" s="4">
        <v>0</v>
      </c>
      <c r="Z5" s="4">
        <v>-3.997517282541955E-4</v>
      </c>
      <c r="AA5">
        <v>0</v>
      </c>
      <c r="AB5">
        <v>0</v>
      </c>
      <c r="AC5">
        <v>0</v>
      </c>
    </row>
    <row r="6" spans="1:29" x14ac:dyDescent="0.25">
      <c r="A6" s="2">
        <v>45947</v>
      </c>
      <c r="B6" t="s">
        <v>29</v>
      </c>
      <c r="C6">
        <v>300406</v>
      </c>
      <c r="D6" t="s">
        <v>36</v>
      </c>
      <c r="E6" s="4">
        <v>-2585691.1062054001</v>
      </c>
      <c r="F6" s="4">
        <v>-1929548.24</v>
      </c>
      <c r="G6" s="4">
        <v>-656142.86620540009</v>
      </c>
      <c r="H6" s="4">
        <v>0</v>
      </c>
      <c r="I6" s="4">
        <v>0</v>
      </c>
      <c r="J6" s="4">
        <v>0</v>
      </c>
      <c r="K6" s="4">
        <v>6868736398.0757322</v>
      </c>
      <c r="L6" s="4">
        <v>-3.7644349067315761E-4</v>
      </c>
      <c r="M6" s="4">
        <v>-2.8091749750952158E-4</v>
      </c>
      <c r="N6" s="4">
        <v>-9.5525993163635985E-5</v>
      </c>
      <c r="O6" s="4">
        <v>0</v>
      </c>
      <c r="P6" s="4">
        <v>0</v>
      </c>
      <c r="Q6" s="4">
        <v>0</v>
      </c>
      <c r="R6" s="4">
        <v>-2585691.1062054001</v>
      </c>
      <c r="S6" s="4">
        <v>-1929548.24</v>
      </c>
      <c r="T6" s="4">
        <v>-656142.86620540009</v>
      </c>
      <c r="U6" s="4">
        <v>0</v>
      </c>
      <c r="V6" s="4">
        <v>0</v>
      </c>
      <c r="X6" s="4">
        <v>-3.7644349067315761E-4</v>
      </c>
      <c r="Y6" s="4">
        <v>-2.8091749750952158E-4</v>
      </c>
      <c r="Z6" s="4">
        <v>-9.5525993163635985E-5</v>
      </c>
      <c r="AA6">
        <v>0</v>
      </c>
      <c r="AB6">
        <v>0</v>
      </c>
      <c r="AC6">
        <v>0</v>
      </c>
    </row>
    <row r="7" spans="1:29" x14ac:dyDescent="0.25">
      <c r="A7" s="2">
        <v>45947</v>
      </c>
      <c r="B7" t="s">
        <v>29</v>
      </c>
      <c r="C7">
        <v>300406</v>
      </c>
      <c r="D7" t="s">
        <v>37</v>
      </c>
      <c r="E7" s="4">
        <v>-17777138.396364588</v>
      </c>
      <c r="F7" s="4">
        <v>0</v>
      </c>
      <c r="G7" s="4">
        <v>-17405460.86611459</v>
      </c>
      <c r="H7" s="4">
        <v>0</v>
      </c>
      <c r="I7" s="4">
        <v>-371677.53024999797</v>
      </c>
      <c r="J7" s="4">
        <v>0</v>
      </c>
      <c r="K7" s="4">
        <v>1944596352.295027</v>
      </c>
      <c r="L7" s="4">
        <v>-9.1418141227015449E-3</v>
      </c>
      <c r="M7" s="4">
        <v>0</v>
      </c>
      <c r="N7" s="4">
        <v>-8.9506806106946241E-3</v>
      </c>
      <c r="O7" s="4">
        <v>0</v>
      </c>
      <c r="P7" s="4">
        <v>-1.9113351200692179E-4</v>
      </c>
      <c r="Q7" s="4">
        <v>0</v>
      </c>
      <c r="R7" s="4">
        <v>-17777138.396364588</v>
      </c>
      <c r="S7" s="4">
        <v>0</v>
      </c>
      <c r="T7" s="4">
        <v>-17405460.86611459</v>
      </c>
      <c r="U7" s="4">
        <v>0</v>
      </c>
      <c r="V7" s="4">
        <v>-371677.53024999797</v>
      </c>
      <c r="X7" s="4">
        <v>-9.1418141227015449E-3</v>
      </c>
      <c r="Y7" s="4">
        <v>0</v>
      </c>
      <c r="Z7" s="4">
        <v>-8.9506806106946241E-3</v>
      </c>
      <c r="AA7">
        <v>0</v>
      </c>
      <c r="AB7">
        <v>-1.9113351200692179E-4</v>
      </c>
      <c r="AC7">
        <v>0</v>
      </c>
    </row>
    <row r="8" spans="1:29" x14ac:dyDescent="0.25">
      <c r="A8" s="2">
        <v>45947</v>
      </c>
      <c r="B8" t="s">
        <v>29</v>
      </c>
      <c r="C8">
        <v>300647</v>
      </c>
      <c r="D8" t="s">
        <v>30</v>
      </c>
      <c r="E8" s="4">
        <v>-10302.670100003479</v>
      </c>
      <c r="F8" s="4">
        <v>0</v>
      </c>
      <c r="G8" s="4">
        <v>-10302.670100003479</v>
      </c>
      <c r="H8" s="4">
        <v>0</v>
      </c>
      <c r="I8" s="4">
        <v>0</v>
      </c>
      <c r="J8" s="4">
        <v>0</v>
      </c>
      <c r="K8" s="4">
        <v>2725765629.478714</v>
      </c>
      <c r="L8" s="4">
        <v>-3.7797343941026219E-6</v>
      </c>
      <c r="M8" s="4">
        <v>0</v>
      </c>
      <c r="N8" s="4">
        <v>-3.7797343941026219E-6</v>
      </c>
      <c r="O8" s="4">
        <v>0</v>
      </c>
      <c r="P8" s="4">
        <v>0</v>
      </c>
      <c r="Q8" s="4">
        <v>0</v>
      </c>
      <c r="R8" s="4">
        <v>-10302.670100003479</v>
      </c>
      <c r="S8" s="4">
        <v>0</v>
      </c>
      <c r="T8" s="4">
        <v>-10302.670100003479</v>
      </c>
      <c r="U8" s="4">
        <v>0</v>
      </c>
      <c r="V8" s="4">
        <v>0</v>
      </c>
      <c r="X8" s="4">
        <v>-3.7797343941026219E-6</v>
      </c>
      <c r="Y8" s="4">
        <v>0</v>
      </c>
      <c r="Z8" s="4">
        <v>-3.7797343941026219E-6</v>
      </c>
      <c r="AA8">
        <v>0</v>
      </c>
      <c r="AB8">
        <v>0</v>
      </c>
      <c r="AC8">
        <v>0</v>
      </c>
    </row>
    <row r="9" spans="1:29" x14ac:dyDescent="0.25">
      <c r="A9" s="2">
        <v>45947</v>
      </c>
      <c r="B9" t="s">
        <v>29</v>
      </c>
      <c r="C9">
        <v>389038</v>
      </c>
      <c r="D9" t="s">
        <v>30</v>
      </c>
      <c r="E9" s="4">
        <v>-26221845.059127498</v>
      </c>
      <c r="F9" s="4">
        <v>-26221845.059127498</v>
      </c>
      <c r="G9" s="4">
        <v>0</v>
      </c>
      <c r="H9" s="4">
        <v>0</v>
      </c>
      <c r="I9" s="4">
        <v>0</v>
      </c>
      <c r="J9" s="4">
        <v>0</v>
      </c>
      <c r="K9" s="4">
        <v>2725765629.478714</v>
      </c>
      <c r="L9" s="4">
        <v>-9.6199925538507387E-3</v>
      </c>
      <c r="M9" s="4">
        <v>-9.6199925538507387E-3</v>
      </c>
      <c r="N9" s="4">
        <v>0</v>
      </c>
      <c r="O9" s="4">
        <v>0</v>
      </c>
      <c r="P9" s="4">
        <v>0</v>
      </c>
      <c r="Q9" s="4">
        <v>0</v>
      </c>
      <c r="R9" s="4">
        <v>-26221845.059127498</v>
      </c>
      <c r="S9" s="4">
        <v>-26221845.059127498</v>
      </c>
      <c r="T9" s="4">
        <v>0</v>
      </c>
      <c r="U9" s="4">
        <v>0</v>
      </c>
      <c r="V9" s="4">
        <v>0</v>
      </c>
      <c r="X9" s="4">
        <v>-9.6199925538507387E-3</v>
      </c>
      <c r="Y9" s="4">
        <v>-9.6199925538507387E-3</v>
      </c>
      <c r="Z9" s="4">
        <v>0</v>
      </c>
      <c r="AA9">
        <v>0</v>
      </c>
      <c r="AB9">
        <v>0</v>
      </c>
      <c r="AC9">
        <v>0</v>
      </c>
    </row>
    <row r="10" spans="1:29" x14ac:dyDescent="0.25">
      <c r="A10" s="2">
        <v>45947</v>
      </c>
      <c r="B10" t="s">
        <v>29</v>
      </c>
      <c r="C10">
        <v>389038</v>
      </c>
      <c r="D10" t="s">
        <v>36</v>
      </c>
      <c r="E10" s="4">
        <v>-32947737.970872499</v>
      </c>
      <c r="F10" s="4">
        <v>-32947737.970872499</v>
      </c>
      <c r="G10" s="4">
        <v>0</v>
      </c>
      <c r="H10" s="4">
        <v>0</v>
      </c>
      <c r="I10" s="4">
        <v>0</v>
      </c>
      <c r="J10" s="4">
        <v>0</v>
      </c>
      <c r="K10" s="4">
        <v>6868736398.0757322</v>
      </c>
      <c r="L10" s="4">
        <v>-4.7967684391124346E-3</v>
      </c>
      <c r="M10" s="4">
        <v>-4.7967684391124346E-3</v>
      </c>
      <c r="N10" s="4">
        <v>0</v>
      </c>
      <c r="O10" s="4">
        <v>0</v>
      </c>
      <c r="P10" s="4">
        <v>0</v>
      </c>
      <c r="Q10" s="4">
        <v>0</v>
      </c>
      <c r="R10" s="4">
        <v>-32947737.970872499</v>
      </c>
      <c r="S10" s="4">
        <v>-32947737.970872499</v>
      </c>
      <c r="T10" s="4">
        <v>0</v>
      </c>
      <c r="U10" s="4">
        <v>0</v>
      </c>
      <c r="V10" s="4">
        <v>0</v>
      </c>
      <c r="X10" s="4">
        <v>-4.7967684391124346E-3</v>
      </c>
      <c r="Y10" s="4">
        <v>-4.7967684391124346E-3</v>
      </c>
      <c r="Z10" s="4">
        <v>0</v>
      </c>
      <c r="AA10">
        <v>0</v>
      </c>
      <c r="AB10">
        <v>0</v>
      </c>
      <c r="AC10">
        <v>0</v>
      </c>
    </row>
    <row r="11" spans="1:29" x14ac:dyDescent="0.25">
      <c r="A11" s="2">
        <v>45947</v>
      </c>
      <c r="B11" t="s">
        <v>29</v>
      </c>
      <c r="C11">
        <v>900200</v>
      </c>
      <c r="D11" t="s">
        <v>37</v>
      </c>
      <c r="E11" s="4">
        <v>-2814618.7866275008</v>
      </c>
      <c r="F11" s="4">
        <v>0</v>
      </c>
      <c r="G11" s="4">
        <v>0</v>
      </c>
      <c r="H11" s="4">
        <v>0</v>
      </c>
      <c r="I11" s="4">
        <v>-2814618.7866275008</v>
      </c>
      <c r="J11" s="4">
        <v>0</v>
      </c>
      <c r="K11" s="4">
        <v>1944596352.295027</v>
      </c>
      <c r="L11" s="4">
        <v>-1.4474051559881141E-3</v>
      </c>
      <c r="M11" s="4">
        <v>0</v>
      </c>
      <c r="N11" s="4">
        <v>0</v>
      </c>
      <c r="O11" s="4">
        <v>0</v>
      </c>
      <c r="P11" s="4">
        <v>-1.4474051559881141E-3</v>
      </c>
      <c r="Q11" s="4">
        <v>0</v>
      </c>
      <c r="R11" s="4">
        <v>-2814618.7866275008</v>
      </c>
      <c r="S11" s="4">
        <v>0</v>
      </c>
      <c r="T11" s="4">
        <v>0</v>
      </c>
      <c r="U11" s="4">
        <v>0</v>
      </c>
      <c r="V11" s="4">
        <v>-2814618.7866275008</v>
      </c>
      <c r="X11" s="4">
        <v>-1.4474051559881141E-3</v>
      </c>
      <c r="Y11" s="4">
        <v>0</v>
      </c>
      <c r="Z11" s="4">
        <v>0</v>
      </c>
      <c r="AA11">
        <v>0</v>
      </c>
      <c r="AB11">
        <v>-1.4474051559881141E-3</v>
      </c>
      <c r="AC11">
        <v>0</v>
      </c>
    </row>
    <row r="12" spans="1:29" x14ac:dyDescent="0.25">
      <c r="A12" s="2">
        <v>45947</v>
      </c>
      <c r="B12" t="s">
        <v>29</v>
      </c>
      <c r="C12">
        <v>981017</v>
      </c>
      <c r="D12" t="s">
        <v>37</v>
      </c>
      <c r="E12" s="4">
        <v>-7356511.6438814774</v>
      </c>
      <c r="F12" s="4">
        <v>-1603696.670000002</v>
      </c>
      <c r="G12" s="4">
        <v>0</v>
      </c>
      <c r="H12" s="4">
        <v>0</v>
      </c>
      <c r="I12" s="4">
        <v>-5752814.9738814756</v>
      </c>
      <c r="J12" s="4">
        <v>0</v>
      </c>
      <c r="K12" s="4">
        <v>1944596352.295027</v>
      </c>
      <c r="L12" s="4">
        <v>-3.783053298027258E-3</v>
      </c>
      <c r="M12" s="4">
        <v>-8.246938590146522E-4</v>
      </c>
      <c r="N12" s="4">
        <v>0</v>
      </c>
      <c r="O12" s="4">
        <v>0</v>
      </c>
      <c r="P12" s="4">
        <v>-2.958359439012606E-3</v>
      </c>
      <c r="Q12" s="4">
        <v>0</v>
      </c>
      <c r="R12" s="4">
        <v>-7356511.6438814774</v>
      </c>
      <c r="S12" s="4">
        <v>-1603696.670000002</v>
      </c>
      <c r="T12" s="4">
        <v>0</v>
      </c>
      <c r="U12" s="4">
        <v>0</v>
      </c>
      <c r="V12" s="4">
        <v>-5752814.9738814756</v>
      </c>
      <c r="X12" s="4">
        <v>-3.783053298027258E-3</v>
      </c>
      <c r="Y12" s="4">
        <v>-8.246938590146522E-4</v>
      </c>
      <c r="Z12" s="4">
        <v>0</v>
      </c>
      <c r="AA12">
        <v>0</v>
      </c>
      <c r="AB12">
        <v>-2.958359439012606E-3</v>
      </c>
      <c r="AC12">
        <v>0</v>
      </c>
    </row>
    <row r="13" spans="1:29" x14ac:dyDescent="0.25">
      <c r="A13" s="2">
        <v>45947</v>
      </c>
      <c r="B13" t="s">
        <v>34</v>
      </c>
      <c r="C13">
        <v>300156</v>
      </c>
      <c r="D13" t="s">
        <v>30</v>
      </c>
      <c r="E13" s="4">
        <v>-29352.473703704771</v>
      </c>
      <c r="F13" s="4">
        <v>0</v>
      </c>
      <c r="G13" s="4">
        <v>0</v>
      </c>
      <c r="H13" s="4">
        <v>-29352.473703704771</v>
      </c>
      <c r="I13" s="4">
        <v>0</v>
      </c>
      <c r="J13" s="4">
        <v>0</v>
      </c>
      <c r="K13" s="4">
        <v>2721214990.5756922</v>
      </c>
      <c r="L13" s="4">
        <v>-1.078653241488099E-5</v>
      </c>
      <c r="M13" s="4">
        <v>0</v>
      </c>
      <c r="N13" s="4">
        <v>0</v>
      </c>
      <c r="O13" s="4">
        <v>-1.078653241488099E-5</v>
      </c>
      <c r="P13" s="4">
        <v>0</v>
      </c>
      <c r="Q13" s="4">
        <v>0</v>
      </c>
      <c r="R13" s="4">
        <v>-11119310.728153709</v>
      </c>
      <c r="S13" s="4">
        <v>0</v>
      </c>
      <c r="T13" s="4">
        <v>-10977539.453299999</v>
      </c>
      <c r="U13" s="4">
        <v>-29352.473703704771</v>
      </c>
      <c r="V13" s="4">
        <v>-112418.8011500016</v>
      </c>
      <c r="X13" s="4">
        <v>-4.0861566493874627E-3</v>
      </c>
      <c r="Y13" s="4">
        <v>0</v>
      </c>
      <c r="Z13" s="4">
        <v>-4.0340581289307186E-3</v>
      </c>
      <c r="AA13">
        <v>-1.078653241488099E-5</v>
      </c>
      <c r="AB13">
        <v>-4.13119880418631E-5</v>
      </c>
      <c r="AC13">
        <v>0</v>
      </c>
    </row>
    <row r="14" spans="1:29" x14ac:dyDescent="0.25">
      <c r="A14" s="2">
        <v>45947</v>
      </c>
      <c r="B14" t="s">
        <v>31</v>
      </c>
      <c r="C14">
        <v>300154</v>
      </c>
      <c r="D14" t="s">
        <v>30</v>
      </c>
      <c r="E14" s="4">
        <v>-148474.81929615329</v>
      </c>
      <c r="F14" s="4">
        <v>0</v>
      </c>
      <c r="G14" s="4">
        <v>0</v>
      </c>
      <c r="H14" s="4">
        <v>-148474.81929615329</v>
      </c>
      <c r="I14" s="4">
        <v>0</v>
      </c>
      <c r="J14" s="4">
        <v>0</v>
      </c>
      <c r="K14" s="4">
        <v>2721218254.8838611</v>
      </c>
      <c r="L14" s="4">
        <v>-5.456189301599774E-5</v>
      </c>
      <c r="M14" s="4">
        <v>0</v>
      </c>
      <c r="N14" s="4">
        <v>0</v>
      </c>
      <c r="O14" s="4">
        <v>-5.456189301599774E-5</v>
      </c>
      <c r="P14" s="4">
        <v>0</v>
      </c>
      <c r="Q14" s="4">
        <v>0</v>
      </c>
      <c r="R14" s="4">
        <v>-2782349.9168961528</v>
      </c>
      <c r="S14" s="4">
        <v>0</v>
      </c>
      <c r="T14" s="4">
        <v>-2484129.8824999998</v>
      </c>
      <c r="U14" s="4">
        <v>-298220.034396153</v>
      </c>
      <c r="V14" s="4">
        <v>0</v>
      </c>
      <c r="X14" s="4">
        <v>-1.0224648140231231E-3</v>
      </c>
      <c r="Y14" s="4">
        <v>0</v>
      </c>
      <c r="Z14" s="4">
        <v>-9.1287417980591933E-4</v>
      </c>
      <c r="AA14">
        <v>-1.095906342172031E-4</v>
      </c>
      <c r="AB14">
        <v>0</v>
      </c>
      <c r="AC14">
        <v>0</v>
      </c>
    </row>
    <row r="15" spans="1:29" x14ac:dyDescent="0.25">
      <c r="A15" s="2">
        <v>45947</v>
      </c>
      <c r="B15" t="s">
        <v>31</v>
      </c>
      <c r="C15">
        <v>300155</v>
      </c>
      <c r="D15" t="s">
        <v>30</v>
      </c>
      <c r="E15" s="4">
        <v>-60938.448014102883</v>
      </c>
      <c r="F15" s="4">
        <v>0</v>
      </c>
      <c r="G15" s="4">
        <v>0</v>
      </c>
      <c r="H15" s="4">
        <v>-60938.448014102883</v>
      </c>
      <c r="I15" s="4">
        <v>0</v>
      </c>
      <c r="J15" s="4">
        <v>0</v>
      </c>
      <c r="K15" s="4">
        <v>2721218254.8838611</v>
      </c>
      <c r="L15" s="4">
        <v>-2.2393811266235119E-5</v>
      </c>
      <c r="M15" s="4">
        <v>0</v>
      </c>
      <c r="N15" s="4">
        <v>0</v>
      </c>
      <c r="O15" s="4">
        <v>-2.2393811266235119E-5</v>
      </c>
      <c r="P15" s="4">
        <v>0</v>
      </c>
      <c r="Q15" s="4">
        <v>0</v>
      </c>
      <c r="R15" s="4">
        <v>-14064874.8433841</v>
      </c>
      <c r="S15" s="4">
        <v>-2033373.969999999</v>
      </c>
      <c r="T15" s="4">
        <v>-11771988.990894999</v>
      </c>
      <c r="U15" s="4">
        <v>-125335.7011141032</v>
      </c>
      <c r="V15" s="4">
        <v>-134176.1813750006</v>
      </c>
      <c r="X15" s="4">
        <v>-5.1685949181552804E-3</v>
      </c>
      <c r="Y15" s="4">
        <v>-7.4722928465977879E-4</v>
      </c>
      <c r="Z15" s="4">
        <v>-4.3259995664689591E-3</v>
      </c>
      <c r="AA15">
        <v>-4.6058672761421847E-5</v>
      </c>
      <c r="AB15">
        <v>-4.9307394265120091E-5</v>
      </c>
      <c r="AC15">
        <v>0</v>
      </c>
    </row>
    <row r="16" spans="1:29" x14ac:dyDescent="0.25">
      <c r="A16" s="2">
        <v>45947</v>
      </c>
      <c r="B16" t="s">
        <v>31</v>
      </c>
      <c r="C16">
        <v>300193</v>
      </c>
      <c r="D16" t="s">
        <v>30</v>
      </c>
      <c r="E16" s="4">
        <v>-29862448.805230752</v>
      </c>
      <c r="F16" s="4">
        <v>0</v>
      </c>
      <c r="G16" s="4">
        <v>0</v>
      </c>
      <c r="H16" s="4">
        <v>0</v>
      </c>
      <c r="I16" s="4">
        <v>-29862448.805230752</v>
      </c>
      <c r="J16" s="4">
        <v>0</v>
      </c>
      <c r="K16" s="4">
        <v>2721218254.8838611</v>
      </c>
      <c r="L16" s="4">
        <v>-1.097392638449181E-2</v>
      </c>
      <c r="M16" s="4">
        <v>0</v>
      </c>
      <c r="N16" s="4">
        <v>0</v>
      </c>
      <c r="O16" s="4">
        <v>0</v>
      </c>
      <c r="P16" s="4">
        <v>-1.097392638449181E-2</v>
      </c>
      <c r="Q16" s="4">
        <v>0</v>
      </c>
      <c r="R16" s="4">
        <v>-30952078.326430749</v>
      </c>
      <c r="S16" s="4">
        <v>0</v>
      </c>
      <c r="T16" s="4">
        <v>-1089629.521200001</v>
      </c>
      <c r="U16" s="4">
        <v>0</v>
      </c>
      <c r="V16" s="4">
        <v>-29862448.805230752</v>
      </c>
      <c r="X16" s="4">
        <v>-1.1374346130039381E-2</v>
      </c>
      <c r="Y16" s="4">
        <v>0</v>
      </c>
      <c r="Z16" s="4">
        <v>-4.0041974554757111E-4</v>
      </c>
      <c r="AA16">
        <v>0</v>
      </c>
      <c r="AB16">
        <v>-1.097392638449181E-2</v>
      </c>
      <c r="AC16">
        <v>0</v>
      </c>
    </row>
    <row r="17" spans="1:29" x14ac:dyDescent="0.25">
      <c r="A17" s="2">
        <v>45947</v>
      </c>
      <c r="B17" t="s">
        <v>31</v>
      </c>
      <c r="C17">
        <v>300647</v>
      </c>
      <c r="D17" t="s">
        <v>30</v>
      </c>
      <c r="E17" s="4">
        <v>-14329057.36114829</v>
      </c>
      <c r="F17" s="4">
        <v>0</v>
      </c>
      <c r="G17" s="4">
        <v>0</v>
      </c>
      <c r="H17" s="4">
        <v>0</v>
      </c>
      <c r="I17" s="4">
        <v>-14329057.36114829</v>
      </c>
      <c r="J17" s="4">
        <v>0</v>
      </c>
      <c r="K17" s="4">
        <v>2721218254.8838611</v>
      </c>
      <c r="L17" s="4">
        <v>-5.2656773617593706E-3</v>
      </c>
      <c r="M17" s="4">
        <v>0</v>
      </c>
      <c r="N17" s="4">
        <v>0</v>
      </c>
      <c r="O17" s="4">
        <v>0</v>
      </c>
      <c r="P17" s="4">
        <v>-5.2656773617593706E-3</v>
      </c>
      <c r="Q17" s="4">
        <v>0</v>
      </c>
      <c r="R17" s="4">
        <v>-14339360.03124829</v>
      </c>
      <c r="S17" s="4">
        <v>0</v>
      </c>
      <c r="T17" s="4">
        <v>-10302.670100003479</v>
      </c>
      <c r="U17" s="4">
        <v>0</v>
      </c>
      <c r="V17" s="4">
        <v>-14329057.36114829</v>
      </c>
      <c r="X17" s="4">
        <v>-5.2694634123936828E-3</v>
      </c>
      <c r="Y17" s="4">
        <v>0</v>
      </c>
      <c r="Z17" s="4">
        <v>-3.7860506343116479E-6</v>
      </c>
      <c r="AA17">
        <v>0</v>
      </c>
      <c r="AB17">
        <v>-5.2656773617593706E-3</v>
      </c>
      <c r="AC17">
        <v>0</v>
      </c>
    </row>
    <row r="18" spans="1:29" x14ac:dyDescent="0.25">
      <c r="A18" s="2">
        <v>45947</v>
      </c>
      <c r="B18" t="s">
        <v>31</v>
      </c>
      <c r="C18">
        <v>389037</v>
      </c>
      <c r="D18" t="s">
        <v>36</v>
      </c>
      <c r="E18" s="4">
        <v>-555422.47068689764</v>
      </c>
      <c r="F18" s="4">
        <v>0</v>
      </c>
      <c r="G18" s="4">
        <v>0</v>
      </c>
      <c r="H18" s="4">
        <v>0</v>
      </c>
      <c r="I18" s="4">
        <v>-555422.47068689764</v>
      </c>
      <c r="J18" s="4">
        <v>0</v>
      </c>
      <c r="K18" s="4">
        <v>6854697768.7645226</v>
      </c>
      <c r="L18" s="4">
        <v>-8.1028002900119974E-5</v>
      </c>
      <c r="M18" s="4">
        <v>0</v>
      </c>
      <c r="N18" s="4">
        <v>0</v>
      </c>
      <c r="O18" s="4">
        <v>0</v>
      </c>
      <c r="P18" s="4">
        <v>-8.1028002900119974E-5</v>
      </c>
      <c r="Q18" s="4">
        <v>0</v>
      </c>
      <c r="R18" s="4">
        <v>-555422.47068689764</v>
      </c>
      <c r="S18" s="4">
        <v>0</v>
      </c>
      <c r="T18" s="4">
        <v>0</v>
      </c>
      <c r="U18" s="4">
        <v>0</v>
      </c>
      <c r="V18" s="4">
        <v>-555422.47068689764</v>
      </c>
      <c r="X18" s="4">
        <v>-8.1028002900119974E-5</v>
      </c>
      <c r="Y18" s="4">
        <v>0</v>
      </c>
      <c r="Z18" s="4">
        <v>0</v>
      </c>
      <c r="AA18">
        <v>0</v>
      </c>
      <c r="AB18">
        <v>-8.1028002900119974E-5</v>
      </c>
      <c r="AC18">
        <v>0</v>
      </c>
    </row>
    <row r="19" spans="1:29" x14ac:dyDescent="0.25">
      <c r="A19" s="2">
        <v>45947</v>
      </c>
      <c r="B19" t="s">
        <v>31</v>
      </c>
      <c r="C19">
        <v>389038</v>
      </c>
      <c r="D19" t="s">
        <v>30</v>
      </c>
      <c r="E19" s="4">
        <v>-6734212.5518226055</v>
      </c>
      <c r="F19" s="4">
        <v>0</v>
      </c>
      <c r="G19" s="4">
        <v>-6734212.5518226055</v>
      </c>
      <c r="H19" s="4">
        <v>0</v>
      </c>
      <c r="I19" s="4">
        <v>0</v>
      </c>
      <c r="J19" s="4">
        <v>0</v>
      </c>
      <c r="K19" s="4">
        <v>2721218254.8838611</v>
      </c>
      <c r="L19" s="4">
        <v>-2.474705047908777E-3</v>
      </c>
      <c r="M19" s="4">
        <v>0</v>
      </c>
      <c r="N19" s="4">
        <v>-2.474705047908777E-3</v>
      </c>
      <c r="O19" s="4">
        <v>0</v>
      </c>
      <c r="P19" s="4">
        <v>0</v>
      </c>
      <c r="Q19" s="4">
        <v>0</v>
      </c>
      <c r="R19" s="4">
        <v>-32956057.610950101</v>
      </c>
      <c r="S19" s="4">
        <v>-26221845.059127498</v>
      </c>
      <c r="T19" s="4">
        <v>-6734212.5518226055</v>
      </c>
      <c r="U19" s="4">
        <v>0</v>
      </c>
      <c r="V19" s="4">
        <v>0</v>
      </c>
      <c r="X19" s="4">
        <v>-1.2110773383135581E-2</v>
      </c>
      <c r="Y19" s="4">
        <v>-9.6360683352267971E-3</v>
      </c>
      <c r="Z19" s="4">
        <v>-2.474705047908777E-3</v>
      </c>
      <c r="AA19">
        <v>0</v>
      </c>
      <c r="AB19">
        <v>0</v>
      </c>
      <c r="AC19">
        <v>0</v>
      </c>
    </row>
    <row r="20" spans="1:29" x14ac:dyDescent="0.25">
      <c r="A20" s="2">
        <v>45947</v>
      </c>
      <c r="B20" t="s">
        <v>31</v>
      </c>
      <c r="C20">
        <v>900200</v>
      </c>
      <c r="D20" t="s">
        <v>37</v>
      </c>
      <c r="E20" s="4">
        <v>-47690840.332902357</v>
      </c>
      <c r="F20" s="4">
        <v>0</v>
      </c>
      <c r="G20" s="4">
        <v>-47690840.332902357</v>
      </c>
      <c r="H20" s="4">
        <v>0</v>
      </c>
      <c r="I20" s="4">
        <v>0</v>
      </c>
      <c r="J20" s="4">
        <v>0</v>
      </c>
      <c r="K20" s="4">
        <v>1559971645.267719</v>
      </c>
      <c r="L20" s="4">
        <v>-3.0571607168358338E-2</v>
      </c>
      <c r="M20" s="4">
        <v>0</v>
      </c>
      <c r="N20" s="4">
        <v>-3.0571607168358338E-2</v>
      </c>
      <c r="O20" s="4">
        <v>0</v>
      </c>
      <c r="P20" s="4">
        <v>0</v>
      </c>
      <c r="Q20" s="4">
        <v>0</v>
      </c>
      <c r="R20" s="4">
        <v>-50505459.119529858</v>
      </c>
      <c r="S20" s="4">
        <v>0</v>
      </c>
      <c r="T20" s="4">
        <v>-47690840.332902357</v>
      </c>
      <c r="U20" s="4">
        <v>0</v>
      </c>
      <c r="V20" s="4">
        <v>-2814618.7866275008</v>
      </c>
      <c r="X20" s="4">
        <v>-3.237588277501173E-2</v>
      </c>
      <c r="Y20" s="4">
        <v>0</v>
      </c>
      <c r="Z20" s="4">
        <v>-3.0571607168358338E-2</v>
      </c>
      <c r="AA20">
        <v>0</v>
      </c>
      <c r="AB20">
        <v>-1.80427560665339E-3</v>
      </c>
      <c r="AC20">
        <v>0</v>
      </c>
    </row>
    <row r="21" spans="1:29" x14ac:dyDescent="0.25">
      <c r="A21" s="2">
        <v>45947</v>
      </c>
      <c r="B21" t="s">
        <v>31</v>
      </c>
      <c r="C21">
        <v>981017</v>
      </c>
      <c r="D21" t="s">
        <v>37</v>
      </c>
      <c r="E21" s="4">
        <v>-32221565.462926179</v>
      </c>
      <c r="F21" s="4">
        <v>0</v>
      </c>
      <c r="G21" s="4">
        <v>-32221565.462926179</v>
      </c>
      <c r="H21" s="4">
        <v>0</v>
      </c>
      <c r="I21" s="4">
        <v>0</v>
      </c>
      <c r="J21" s="4">
        <v>0</v>
      </c>
      <c r="K21" s="4">
        <v>1559971645.267719</v>
      </c>
      <c r="L21" s="4">
        <v>-2.065522508737419E-2</v>
      </c>
      <c r="M21" s="4">
        <v>0</v>
      </c>
      <c r="N21" s="4">
        <v>-2.065522508737419E-2</v>
      </c>
      <c r="O21" s="4">
        <v>0</v>
      </c>
      <c r="P21" s="4">
        <v>0</v>
      </c>
      <c r="Q21" s="4">
        <v>0</v>
      </c>
      <c r="R21" s="4">
        <v>-39578077.106807657</v>
      </c>
      <c r="S21" s="4">
        <v>-1603696.670000002</v>
      </c>
      <c r="T21" s="4">
        <v>-32221565.462926179</v>
      </c>
      <c r="U21" s="4">
        <v>0</v>
      </c>
      <c r="V21" s="4">
        <v>-5752814.9738814756</v>
      </c>
      <c r="X21" s="4">
        <v>-2.5371023394476729E-2</v>
      </c>
      <c r="Y21" s="4">
        <v>-1.0280293714728249E-3</v>
      </c>
      <c r="Z21" s="4">
        <v>-2.065522508737419E-2</v>
      </c>
      <c r="AA21">
        <v>0</v>
      </c>
      <c r="AB21">
        <v>-3.6877689356297171E-3</v>
      </c>
      <c r="AC21">
        <v>0</v>
      </c>
    </row>
    <row r="22" spans="1:29" x14ac:dyDescent="0.25">
      <c r="A22" s="2">
        <v>45947</v>
      </c>
      <c r="B22" t="s">
        <v>32</v>
      </c>
      <c r="C22">
        <v>300154</v>
      </c>
      <c r="D22" t="s">
        <v>30</v>
      </c>
      <c r="E22" s="4">
        <v>-73568.780277632177</v>
      </c>
      <c r="F22" s="4">
        <v>0</v>
      </c>
      <c r="G22" s="4">
        <v>0</v>
      </c>
      <c r="H22" s="4">
        <v>-73568.780277632177</v>
      </c>
      <c r="I22" s="4">
        <v>0</v>
      </c>
      <c r="J22" s="4">
        <v>0</v>
      </c>
      <c r="K22" s="4">
        <v>2718954169.8687539</v>
      </c>
      <c r="L22" s="4">
        <v>-2.7057749296739119E-5</v>
      </c>
      <c r="M22" s="4">
        <v>0</v>
      </c>
      <c r="N22" s="4">
        <v>0</v>
      </c>
      <c r="O22" s="4">
        <v>-2.7057749296739119E-5</v>
      </c>
      <c r="P22" s="4">
        <v>0</v>
      </c>
      <c r="Q22" s="4">
        <v>0</v>
      </c>
      <c r="R22" s="4">
        <v>-2855918.697173785</v>
      </c>
      <c r="S22" s="4">
        <v>0</v>
      </c>
      <c r="T22" s="4">
        <v>-2484129.8824999998</v>
      </c>
      <c r="U22" s="4">
        <v>-371788.81467378518</v>
      </c>
      <c r="V22" s="4">
        <v>0</v>
      </c>
      <c r="X22" s="4">
        <v>-1.050373974237176E-3</v>
      </c>
      <c r="Y22" s="4">
        <v>0</v>
      </c>
      <c r="Z22" s="4">
        <v>-9.1363433412337022E-4</v>
      </c>
      <c r="AA22">
        <v>-1.3673964011380591E-4</v>
      </c>
      <c r="AB22">
        <v>0</v>
      </c>
      <c r="AC22">
        <v>0</v>
      </c>
    </row>
    <row r="23" spans="1:29" x14ac:dyDescent="0.25">
      <c r="A23" s="2">
        <v>45947</v>
      </c>
      <c r="B23" t="s">
        <v>32</v>
      </c>
      <c r="C23">
        <v>300155</v>
      </c>
      <c r="D23" t="s">
        <v>30</v>
      </c>
      <c r="E23" s="4">
        <v>-28648.80027763173</v>
      </c>
      <c r="F23" s="4">
        <v>0</v>
      </c>
      <c r="G23" s="4">
        <v>0</v>
      </c>
      <c r="H23" s="4">
        <v>-28648.80027763173</v>
      </c>
      <c r="I23" s="4">
        <v>0</v>
      </c>
      <c r="J23" s="4">
        <v>0</v>
      </c>
      <c r="K23" s="4">
        <v>2718954169.8687539</v>
      </c>
      <c r="L23" s="4">
        <v>-1.053669848323138E-5</v>
      </c>
      <c r="M23" s="4">
        <v>0</v>
      </c>
      <c r="N23" s="4">
        <v>0</v>
      </c>
      <c r="O23" s="4">
        <v>-1.053669848323138E-5</v>
      </c>
      <c r="P23" s="4">
        <v>0</v>
      </c>
      <c r="Q23" s="4">
        <v>0</v>
      </c>
      <c r="R23" s="4">
        <v>-14093523.64366173</v>
      </c>
      <c r="S23" s="4">
        <v>-2033373.969999999</v>
      </c>
      <c r="T23" s="4">
        <v>-11771988.990894999</v>
      </c>
      <c r="U23" s="4">
        <v>-153984.5013917349</v>
      </c>
      <c r="V23" s="4">
        <v>-134176.1813750006</v>
      </c>
      <c r="X23" s="4">
        <v>-5.1834355282060684E-3</v>
      </c>
      <c r="Y23" s="4">
        <v>-7.4785150574941523E-4</v>
      </c>
      <c r="Z23" s="4">
        <v>-4.3296018452062546E-3</v>
      </c>
      <c r="AA23">
        <v>-5.6633724502670773E-5</v>
      </c>
      <c r="AB23">
        <v>-4.9348452747725943E-5</v>
      </c>
      <c r="AC23">
        <v>0</v>
      </c>
    </row>
    <row r="24" spans="1:29" x14ac:dyDescent="0.25">
      <c r="A24" s="2">
        <v>45947</v>
      </c>
      <c r="B24" t="s">
        <v>32</v>
      </c>
      <c r="C24">
        <v>300647</v>
      </c>
      <c r="D24" t="s">
        <v>30</v>
      </c>
      <c r="E24" s="4">
        <v>-29260529.385619812</v>
      </c>
      <c r="F24" s="4">
        <v>0</v>
      </c>
      <c r="G24" s="4">
        <v>0</v>
      </c>
      <c r="H24" s="4">
        <v>0</v>
      </c>
      <c r="I24" s="4">
        <v>-29260529.385619812</v>
      </c>
      <c r="J24" s="4">
        <v>0</v>
      </c>
      <c r="K24" s="4">
        <v>2718954169.8687539</v>
      </c>
      <c r="L24" s="4">
        <v>-1.076168539723207E-2</v>
      </c>
      <c r="M24" s="4">
        <v>0</v>
      </c>
      <c r="N24" s="4">
        <v>0</v>
      </c>
      <c r="O24" s="4">
        <v>0</v>
      </c>
      <c r="P24" s="4">
        <v>-1.076168539723207E-2</v>
      </c>
      <c r="Q24" s="4">
        <v>0</v>
      </c>
      <c r="R24" s="4">
        <v>-43599889.416868113</v>
      </c>
      <c r="S24" s="4">
        <v>0</v>
      </c>
      <c r="T24" s="4">
        <v>-10302.670100003479</v>
      </c>
      <c r="U24" s="4">
        <v>0</v>
      </c>
      <c r="V24" s="4">
        <v>-43589586.746768102</v>
      </c>
      <c r="X24" s="4">
        <v>-1.6035536714829109E-2</v>
      </c>
      <c r="Y24" s="4">
        <v>0</v>
      </c>
      <c r="Z24" s="4">
        <v>-3.78920329521435E-6</v>
      </c>
      <c r="AA24">
        <v>0</v>
      </c>
      <c r="AB24">
        <v>-1.6031747511533891E-2</v>
      </c>
      <c r="AC24">
        <v>0</v>
      </c>
    </row>
    <row r="25" spans="1:29" x14ac:dyDescent="0.25">
      <c r="A25" s="2">
        <v>45947</v>
      </c>
      <c r="B25" t="s">
        <v>33</v>
      </c>
      <c r="C25">
        <v>300155</v>
      </c>
      <c r="D25" t="s">
        <v>30</v>
      </c>
      <c r="E25" s="4">
        <v>-3965891.2958663069</v>
      </c>
      <c r="F25" s="4">
        <v>0</v>
      </c>
      <c r="G25" s="4">
        <v>0</v>
      </c>
      <c r="H25" s="4">
        <v>0</v>
      </c>
      <c r="I25" s="4">
        <v>-3965891.2958663069</v>
      </c>
      <c r="J25" s="4">
        <v>0</v>
      </c>
      <c r="K25" s="4">
        <v>2719406032.1009212</v>
      </c>
      <c r="L25" s="4">
        <v>-1.4583667348867331E-3</v>
      </c>
      <c r="M25" s="4">
        <v>0</v>
      </c>
      <c r="N25" s="4">
        <v>0</v>
      </c>
      <c r="O25" s="4">
        <v>0</v>
      </c>
      <c r="P25" s="4">
        <v>-1.4583667348867331E-3</v>
      </c>
      <c r="Q25" s="4">
        <v>0</v>
      </c>
      <c r="R25" s="4">
        <v>-18059414.939528041</v>
      </c>
      <c r="S25" s="4">
        <v>-2033373.969999999</v>
      </c>
      <c r="T25" s="4">
        <v>-11771988.990894999</v>
      </c>
      <c r="U25" s="4">
        <v>-153984.5013917349</v>
      </c>
      <c r="V25" s="4">
        <v>-4100067.477241307</v>
      </c>
      <c r="X25" s="4">
        <v>-6.640940972531398E-3</v>
      </c>
      <c r="Y25" s="4">
        <v>-7.4772724116857351E-4</v>
      </c>
      <c r="Z25" s="4">
        <v>-4.3288824294474186E-3</v>
      </c>
      <c r="AA25">
        <v>-5.6624314123761689E-5</v>
      </c>
      <c r="AB25">
        <v>-1.507706987791644E-3</v>
      </c>
      <c r="AC25">
        <v>0</v>
      </c>
    </row>
    <row r="26" spans="1:29" x14ac:dyDescent="0.25">
      <c r="A26" s="2">
        <v>45947</v>
      </c>
      <c r="B26" t="s">
        <v>33</v>
      </c>
      <c r="C26">
        <v>300156</v>
      </c>
      <c r="D26" t="s">
        <v>30</v>
      </c>
      <c r="E26" s="4">
        <v>-3384242.2787192171</v>
      </c>
      <c r="F26" s="4">
        <v>0</v>
      </c>
      <c r="G26" s="4">
        <v>0</v>
      </c>
      <c r="H26" s="4">
        <v>-14793.646746665239</v>
      </c>
      <c r="I26" s="4">
        <v>-3369448.6319725509</v>
      </c>
      <c r="J26" s="4">
        <v>0</v>
      </c>
      <c r="K26" s="4">
        <v>2719406032.1009212</v>
      </c>
      <c r="L26" s="4">
        <v>-1.2444784775683781E-3</v>
      </c>
      <c r="M26" s="4">
        <v>0</v>
      </c>
      <c r="N26" s="4">
        <v>0</v>
      </c>
      <c r="O26" s="4">
        <v>-5.4400286577419141E-6</v>
      </c>
      <c r="P26" s="4">
        <v>-1.239038448910635E-3</v>
      </c>
      <c r="Q26" s="4">
        <v>0</v>
      </c>
      <c r="R26" s="4">
        <v>-14503553.00687292</v>
      </c>
      <c r="S26" s="4">
        <v>0</v>
      </c>
      <c r="T26" s="4">
        <v>-10977539.453299999</v>
      </c>
      <c r="U26" s="4">
        <v>-44146.120450370006</v>
      </c>
      <c r="V26" s="4">
        <v>-3481867.433122552</v>
      </c>
      <c r="X26" s="4">
        <v>-5.3333532527571718E-3</v>
      </c>
      <c r="Y26" s="4">
        <v>0</v>
      </c>
      <c r="Z26" s="4">
        <v>-4.0367415986126663E-3</v>
      </c>
      <c r="AA26">
        <v>-1.623373631199318E-5</v>
      </c>
      <c r="AB26">
        <v>-1.280377917832513E-3</v>
      </c>
      <c r="AC26">
        <v>0</v>
      </c>
    </row>
    <row r="27" spans="1:29" x14ac:dyDescent="0.25">
      <c r="A27" s="2">
        <v>45947</v>
      </c>
      <c r="B27" t="s">
        <v>33</v>
      </c>
      <c r="C27">
        <v>300406</v>
      </c>
      <c r="D27" t="s">
        <v>37</v>
      </c>
      <c r="E27" s="4">
        <v>-7924998.709720552</v>
      </c>
      <c r="F27" s="4">
        <v>0</v>
      </c>
      <c r="G27" s="4">
        <v>0</v>
      </c>
      <c r="H27" s="4">
        <v>0</v>
      </c>
      <c r="I27" s="4">
        <v>-7924998.709720552</v>
      </c>
      <c r="J27" s="4">
        <v>0</v>
      </c>
      <c r="K27" s="4">
        <v>1538915939.9481201</v>
      </c>
      <c r="L27" s="4">
        <v>-5.1497281326410328E-3</v>
      </c>
      <c r="M27" s="4">
        <v>0</v>
      </c>
      <c r="N27" s="4">
        <v>0</v>
      </c>
      <c r="O27" s="4">
        <v>0</v>
      </c>
      <c r="P27" s="4">
        <v>-5.1497281326410328E-3</v>
      </c>
      <c r="Q27" s="4">
        <v>0</v>
      </c>
      <c r="R27" s="4">
        <v>-25702137.10608514</v>
      </c>
      <c r="S27" s="4">
        <v>0</v>
      </c>
      <c r="T27" s="4">
        <v>-17405460.86611459</v>
      </c>
      <c r="U27" s="4">
        <v>0</v>
      </c>
      <c r="V27" s="4">
        <v>-8296676.2399705499</v>
      </c>
      <c r="X27" s="4">
        <v>-1.6701456160725461E-2</v>
      </c>
      <c r="Y27" s="4">
        <v>0</v>
      </c>
      <c r="Z27" s="4">
        <v>-1.131020896872467E-2</v>
      </c>
      <c r="AA27">
        <v>0</v>
      </c>
      <c r="AB27">
        <v>-5.3912471920007842E-3</v>
      </c>
      <c r="AC27">
        <v>0</v>
      </c>
    </row>
    <row r="28" spans="1:29" x14ac:dyDescent="0.25">
      <c r="A28" s="2">
        <v>45947</v>
      </c>
      <c r="B28" t="s">
        <v>35</v>
      </c>
      <c r="C28">
        <v>300156</v>
      </c>
      <c r="D28" t="s">
        <v>30</v>
      </c>
      <c r="E28" s="4">
        <v>-29508.60388297588</v>
      </c>
      <c r="F28" s="4">
        <v>0</v>
      </c>
      <c r="G28" s="4">
        <v>0</v>
      </c>
      <c r="H28" s="4">
        <v>-29508.60388297588</v>
      </c>
      <c r="I28" s="4">
        <v>0</v>
      </c>
      <c r="J28" s="4">
        <v>0</v>
      </c>
      <c r="K28" s="4">
        <v>2720310134.2304788</v>
      </c>
      <c r="L28" s="4">
        <v>-1.084751459462664E-5</v>
      </c>
      <c r="M28" s="4">
        <v>0</v>
      </c>
      <c r="N28" s="4">
        <v>0</v>
      </c>
      <c r="O28" s="4">
        <v>-1.084751459462664E-5</v>
      </c>
      <c r="P28" s="4">
        <v>0</v>
      </c>
      <c r="Q28" s="4">
        <v>0</v>
      </c>
      <c r="R28" s="4">
        <v>-14533061.6107559</v>
      </c>
      <c r="S28" s="4">
        <v>0</v>
      </c>
      <c r="T28" s="4">
        <v>-10977539.453299999</v>
      </c>
      <c r="U28" s="4">
        <v>-73654.72433334589</v>
      </c>
      <c r="V28" s="4">
        <v>-3481867.433122552</v>
      </c>
      <c r="X28" s="4">
        <v>-5.3424282135636006E-3</v>
      </c>
      <c r="Y28" s="4">
        <v>0</v>
      </c>
      <c r="Z28" s="4">
        <v>-4.0353999770711161E-3</v>
      </c>
      <c r="AA28">
        <v>-2.707585558224645E-5</v>
      </c>
      <c r="AB28">
        <v>-1.2799523809102389E-3</v>
      </c>
      <c r="AC28">
        <v>0</v>
      </c>
    </row>
    <row r="29" spans="1:29" x14ac:dyDescent="0.25">
      <c r="A29" s="2">
        <v>45947</v>
      </c>
      <c r="B29" t="s">
        <v>35</v>
      </c>
      <c r="C29">
        <v>389037</v>
      </c>
      <c r="D29" t="s">
        <v>38</v>
      </c>
      <c r="E29" s="4">
        <v>-48612.587261099667</v>
      </c>
      <c r="F29" s="4">
        <v>0</v>
      </c>
      <c r="G29" s="4">
        <v>0</v>
      </c>
      <c r="H29" s="4">
        <v>0</v>
      </c>
      <c r="I29" s="4">
        <v>-48612.587261099667</v>
      </c>
      <c r="J29" s="4">
        <v>0</v>
      </c>
      <c r="K29" s="4">
        <v>5655208697.4511137</v>
      </c>
      <c r="L29" s="4">
        <v>-8.5960730826804107E-6</v>
      </c>
      <c r="M29" s="4">
        <v>0</v>
      </c>
      <c r="N29" s="4">
        <v>0</v>
      </c>
      <c r="O29" s="4">
        <v>0</v>
      </c>
      <c r="P29" s="4">
        <v>-8.5960730826804107E-6</v>
      </c>
      <c r="Q29" s="4">
        <v>0</v>
      </c>
      <c r="R29" s="4">
        <v>-48612.587261099667</v>
      </c>
      <c r="S29" s="4">
        <v>0</v>
      </c>
      <c r="T29" s="4">
        <v>0</v>
      </c>
      <c r="U29" s="4">
        <v>0</v>
      </c>
      <c r="V29" s="4">
        <v>-48612.587261099667</v>
      </c>
      <c r="X29" s="4">
        <v>-8.5960730826804107E-6</v>
      </c>
      <c r="Y29" s="4">
        <v>0</v>
      </c>
      <c r="Z29" s="4">
        <v>0</v>
      </c>
      <c r="AA29">
        <v>0</v>
      </c>
      <c r="AB29">
        <v>-8.5960730826804107E-6</v>
      </c>
      <c r="AC29">
        <v>0</v>
      </c>
    </row>
    <row r="30" spans="1:29" x14ac:dyDescent="0.25">
      <c r="A30" s="2">
        <v>45947</v>
      </c>
      <c r="B30" t="s">
        <v>35</v>
      </c>
      <c r="C30">
        <v>389037</v>
      </c>
      <c r="D30" t="s">
        <v>30</v>
      </c>
      <c r="E30" s="4">
        <v>-53898936.792012662</v>
      </c>
      <c r="F30" s="4">
        <v>0</v>
      </c>
      <c r="G30" s="4">
        <v>0</v>
      </c>
      <c r="H30" s="4">
        <v>0</v>
      </c>
      <c r="I30" s="4">
        <v>-53898936.792012662</v>
      </c>
      <c r="J30" s="4">
        <v>0</v>
      </c>
      <c r="K30" s="4">
        <v>2720310134.2304788</v>
      </c>
      <c r="L30" s="4">
        <v>-1.9813526448247999E-2</v>
      </c>
      <c r="M30" s="4">
        <v>0</v>
      </c>
      <c r="N30" s="4">
        <v>0</v>
      </c>
      <c r="O30" s="4">
        <v>0</v>
      </c>
      <c r="P30" s="4">
        <v>-1.9813526448247999E-2</v>
      </c>
      <c r="Q30" s="4">
        <v>0</v>
      </c>
      <c r="R30" s="4">
        <v>-53898936.792012662</v>
      </c>
      <c r="S30" s="4">
        <v>0</v>
      </c>
      <c r="T30" s="4">
        <v>0</v>
      </c>
      <c r="U30" s="4">
        <v>0</v>
      </c>
      <c r="V30" s="4">
        <v>-53898936.792012662</v>
      </c>
      <c r="X30" s="4">
        <v>-1.9813526448247999E-2</v>
      </c>
      <c r="Y30" s="4">
        <v>0</v>
      </c>
      <c r="Z30" s="4">
        <v>0</v>
      </c>
      <c r="AA30">
        <v>0</v>
      </c>
      <c r="AB30">
        <v>-1.9813526448247999E-2</v>
      </c>
      <c r="AC30">
        <v>0</v>
      </c>
    </row>
    <row r="31" spans="1:29" x14ac:dyDescent="0.25">
      <c r="A31" s="2">
        <v>45947</v>
      </c>
      <c r="B31" t="s">
        <v>35</v>
      </c>
      <c r="C31">
        <v>389037</v>
      </c>
      <c r="D31" t="s">
        <v>36</v>
      </c>
      <c r="E31" s="4">
        <v>-53289402.887839772</v>
      </c>
      <c r="F31" s="4">
        <v>0</v>
      </c>
      <c r="G31" s="4">
        <v>0</v>
      </c>
      <c r="H31" s="4">
        <v>0</v>
      </c>
      <c r="I31" s="4">
        <v>-53289402.887839772</v>
      </c>
      <c r="J31" s="4">
        <v>0</v>
      </c>
      <c r="K31" s="4">
        <v>6851891367.4626551</v>
      </c>
      <c r="L31" s="4">
        <v>-7.7773274603992349E-3</v>
      </c>
      <c r="M31" s="4">
        <v>0</v>
      </c>
      <c r="N31" s="4">
        <v>0</v>
      </c>
      <c r="O31" s="4">
        <v>0</v>
      </c>
      <c r="P31" s="4">
        <v>-7.7773274603992349E-3</v>
      </c>
      <c r="Q31" s="4">
        <v>0</v>
      </c>
      <c r="R31" s="4">
        <v>-53844825.358526669</v>
      </c>
      <c r="S31" s="4">
        <v>0</v>
      </c>
      <c r="T31" s="4">
        <v>0</v>
      </c>
      <c r="U31" s="4">
        <v>0</v>
      </c>
      <c r="V31" s="4">
        <v>-53844825.358526669</v>
      </c>
      <c r="X31" s="4">
        <v>-7.8583886507917755E-3</v>
      </c>
      <c r="Y31" s="4">
        <v>0</v>
      </c>
      <c r="Z31" s="4">
        <v>0</v>
      </c>
      <c r="AA31">
        <v>0</v>
      </c>
      <c r="AB31">
        <v>-7.8583886507917755E-3</v>
      </c>
      <c r="AC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9BD7-C931-44F8-91F2-EF5B6A4F13D8}">
  <dimension ref="A1:F59"/>
  <sheetViews>
    <sheetView tabSelected="1" topLeftCell="A25" workbookViewId="0">
      <selection activeCell="B35" sqref="B35"/>
    </sheetView>
  </sheetViews>
  <sheetFormatPr baseColWidth="10" defaultRowHeight="15" x14ac:dyDescent="0.25"/>
  <cols>
    <col min="1" max="1" width="35.5703125" bestFit="1" customWidth="1"/>
    <col min="2" max="2" width="33" bestFit="1" customWidth="1"/>
    <col min="3" max="3" width="14" style="4" bestFit="1" customWidth="1"/>
    <col min="4" max="4" width="31.5703125" style="4" bestFit="1" customWidth="1"/>
    <col min="5" max="5" width="33.140625" bestFit="1" customWidth="1"/>
    <col min="6" max="22" width="31.140625" bestFit="1" customWidth="1"/>
    <col min="23" max="23" width="30.42578125" bestFit="1" customWidth="1"/>
    <col min="24" max="24" width="36.140625" bestFit="1" customWidth="1"/>
  </cols>
  <sheetData>
    <row r="1" spans="1:6" x14ac:dyDescent="0.25">
      <c r="A1" s="3" t="s">
        <v>1</v>
      </c>
      <c r="B1" s="3" t="s">
        <v>3</v>
      </c>
      <c r="C1" s="3" t="s">
        <v>2</v>
      </c>
      <c r="D1" s="4" t="s">
        <v>40</v>
      </c>
      <c r="E1" t="s">
        <v>41</v>
      </c>
    </row>
    <row r="2" spans="1:6" x14ac:dyDescent="0.25">
      <c r="A2" t="s">
        <v>29</v>
      </c>
      <c r="B2" t="s">
        <v>30</v>
      </c>
      <c r="C2">
        <v>300154</v>
      </c>
      <c r="D2" s="4">
        <v>-2633875.0976</v>
      </c>
      <c r="E2" s="4">
        <v>2725765629.478714</v>
      </c>
      <c r="F2" s="6"/>
    </row>
    <row r="3" spans="1:6" x14ac:dyDescent="0.25">
      <c r="A3" t="s">
        <v>29</v>
      </c>
      <c r="B3" t="s">
        <v>30</v>
      </c>
      <c r="C3">
        <v>300155</v>
      </c>
      <c r="D3" s="4">
        <v>-14003936.395369999</v>
      </c>
      <c r="E3" s="4">
        <v>2725765629.478714</v>
      </c>
      <c r="F3" s="6"/>
    </row>
    <row r="4" spans="1:6" x14ac:dyDescent="0.25">
      <c r="A4" t="s">
        <v>29</v>
      </c>
      <c r="B4" t="s">
        <v>30</v>
      </c>
      <c r="C4">
        <v>300156</v>
      </c>
      <c r="D4" s="4">
        <v>-11089958.254450001</v>
      </c>
      <c r="E4" s="4">
        <v>2725765629.478714</v>
      </c>
      <c r="F4" s="6"/>
    </row>
    <row r="5" spans="1:6" x14ac:dyDescent="0.25">
      <c r="A5" t="s">
        <v>29</v>
      </c>
      <c r="B5" t="s">
        <v>30</v>
      </c>
      <c r="C5">
        <v>300193</v>
      </c>
      <c r="D5" s="4">
        <v>-1089629.521200001</v>
      </c>
      <c r="E5" s="4">
        <v>2725765629.478714</v>
      </c>
      <c r="F5" s="6"/>
    </row>
    <row r="6" spans="1:6" x14ac:dyDescent="0.25">
      <c r="A6" t="s">
        <v>29</v>
      </c>
      <c r="B6" t="s">
        <v>30</v>
      </c>
      <c r="C6">
        <v>300647</v>
      </c>
      <c r="D6" s="4">
        <v>-10302.670100003479</v>
      </c>
      <c r="E6" s="4">
        <v>2725765629.478714</v>
      </c>
      <c r="F6" s="6"/>
    </row>
    <row r="7" spans="1:6" x14ac:dyDescent="0.25">
      <c r="A7" t="s">
        <v>29</v>
      </c>
      <c r="B7" t="s">
        <v>30</v>
      </c>
      <c r="C7">
        <v>389038</v>
      </c>
      <c r="D7" s="4">
        <v>-26221845.059127498</v>
      </c>
      <c r="E7" s="4">
        <v>2725765629.478714</v>
      </c>
      <c r="F7" s="6"/>
    </row>
    <row r="8" spans="1:6" x14ac:dyDescent="0.25">
      <c r="A8" t="s">
        <v>29</v>
      </c>
      <c r="B8" t="s">
        <v>36</v>
      </c>
      <c r="C8">
        <v>300406</v>
      </c>
      <c r="D8" s="4">
        <v>-2585691.1062054001</v>
      </c>
      <c r="E8" s="4">
        <v>6868736398.0757322</v>
      </c>
      <c r="F8" s="6"/>
    </row>
    <row r="9" spans="1:6" x14ac:dyDescent="0.25">
      <c r="A9" t="s">
        <v>29</v>
      </c>
      <c r="B9" t="s">
        <v>36</v>
      </c>
      <c r="C9">
        <v>389038</v>
      </c>
      <c r="D9" s="4">
        <v>-32947737.970872499</v>
      </c>
      <c r="E9" s="4">
        <v>6868736398.0757322</v>
      </c>
      <c r="F9" s="6"/>
    </row>
    <row r="10" spans="1:6" x14ac:dyDescent="0.25">
      <c r="A10" t="s">
        <v>29</v>
      </c>
      <c r="B10" t="s">
        <v>37</v>
      </c>
      <c r="C10">
        <v>300406</v>
      </c>
      <c r="D10" s="4">
        <v>-17777138.396364588</v>
      </c>
      <c r="E10" s="4">
        <v>1944596352.295027</v>
      </c>
      <c r="F10" s="6"/>
    </row>
    <row r="11" spans="1:6" x14ac:dyDescent="0.25">
      <c r="A11" t="s">
        <v>29</v>
      </c>
      <c r="B11" t="s">
        <v>37</v>
      </c>
      <c r="C11">
        <v>900200</v>
      </c>
      <c r="D11" s="4">
        <v>-2814618.7866275008</v>
      </c>
      <c r="E11" s="4">
        <v>1944596352.295027</v>
      </c>
      <c r="F11" s="6"/>
    </row>
    <row r="12" spans="1:6" x14ac:dyDescent="0.25">
      <c r="A12" t="s">
        <v>29</v>
      </c>
      <c r="B12" t="s">
        <v>37</v>
      </c>
      <c r="C12">
        <v>981017</v>
      </c>
      <c r="D12" s="4">
        <v>-7356511.6438814774</v>
      </c>
      <c r="E12" s="4">
        <v>1944596352.295027</v>
      </c>
      <c r="F12" s="6"/>
    </row>
    <row r="13" spans="1:6" x14ac:dyDescent="0.25">
      <c r="A13" t="s">
        <v>34</v>
      </c>
      <c r="B13" t="s">
        <v>30</v>
      </c>
      <c r="C13">
        <v>300156</v>
      </c>
      <c r="D13" s="4">
        <v>-29352.473703704771</v>
      </c>
      <c r="E13" s="4">
        <v>2721214990.5756922</v>
      </c>
      <c r="F13" s="6"/>
    </row>
    <row r="14" spans="1:6" x14ac:dyDescent="0.25">
      <c r="A14" t="s">
        <v>31</v>
      </c>
      <c r="B14" t="s">
        <v>30</v>
      </c>
      <c r="C14">
        <v>300154</v>
      </c>
      <c r="D14" s="4">
        <v>-148474.81929615329</v>
      </c>
      <c r="E14" s="4">
        <v>2721218254.8838611</v>
      </c>
      <c r="F14" s="6"/>
    </row>
    <row r="15" spans="1:6" x14ac:dyDescent="0.25">
      <c r="A15" t="s">
        <v>31</v>
      </c>
      <c r="B15" t="s">
        <v>30</v>
      </c>
      <c r="C15">
        <v>300155</v>
      </c>
      <c r="D15" s="4">
        <v>-60938.448014102883</v>
      </c>
      <c r="E15" s="4">
        <v>2721218254.8838611</v>
      </c>
      <c r="F15" s="6"/>
    </row>
    <row r="16" spans="1:6" x14ac:dyDescent="0.25">
      <c r="A16" t="s">
        <v>31</v>
      </c>
      <c r="B16" t="s">
        <v>30</v>
      </c>
      <c r="C16">
        <v>300193</v>
      </c>
      <c r="D16" s="4">
        <v>-29862448.805230752</v>
      </c>
      <c r="E16" s="4">
        <v>2721218254.8838611</v>
      </c>
      <c r="F16" s="6"/>
    </row>
    <row r="17" spans="1:6" x14ac:dyDescent="0.25">
      <c r="A17" t="s">
        <v>31</v>
      </c>
      <c r="B17" t="s">
        <v>30</v>
      </c>
      <c r="C17">
        <v>300647</v>
      </c>
      <c r="D17" s="4">
        <v>-14329057.36114829</v>
      </c>
      <c r="E17" s="4">
        <v>2721218254.8838611</v>
      </c>
      <c r="F17" s="6"/>
    </row>
    <row r="18" spans="1:6" x14ac:dyDescent="0.25">
      <c r="A18" t="s">
        <v>31</v>
      </c>
      <c r="B18" t="s">
        <v>30</v>
      </c>
      <c r="C18">
        <v>389038</v>
      </c>
      <c r="D18" s="4">
        <v>-6734212.5518226055</v>
      </c>
      <c r="E18" s="4">
        <v>2721218254.8838611</v>
      </c>
      <c r="F18" s="6"/>
    </row>
    <row r="19" spans="1:6" x14ac:dyDescent="0.25">
      <c r="A19" t="s">
        <v>31</v>
      </c>
      <c r="B19" t="s">
        <v>36</v>
      </c>
      <c r="C19">
        <v>389037</v>
      </c>
      <c r="D19" s="4">
        <v>-555422.47068689764</v>
      </c>
      <c r="E19" s="4">
        <v>6854697768.7645226</v>
      </c>
      <c r="F19" s="6"/>
    </row>
    <row r="20" spans="1:6" x14ac:dyDescent="0.25">
      <c r="A20" t="s">
        <v>31</v>
      </c>
      <c r="B20" t="s">
        <v>37</v>
      </c>
      <c r="C20">
        <v>900200</v>
      </c>
      <c r="D20" s="4">
        <v>-47690840.332902357</v>
      </c>
      <c r="E20" s="4">
        <v>1559971645.267719</v>
      </c>
      <c r="F20" s="6"/>
    </row>
    <row r="21" spans="1:6" x14ac:dyDescent="0.25">
      <c r="A21" t="s">
        <v>31</v>
      </c>
      <c r="B21" t="s">
        <v>37</v>
      </c>
      <c r="C21">
        <v>981017</v>
      </c>
      <c r="D21" s="4">
        <v>-32221565.462926179</v>
      </c>
      <c r="E21" s="4">
        <v>1559971645.267719</v>
      </c>
      <c r="F21" s="6"/>
    </row>
    <row r="22" spans="1:6" x14ac:dyDescent="0.25">
      <c r="A22" t="s">
        <v>32</v>
      </c>
      <c r="B22" t="s">
        <v>30</v>
      </c>
      <c r="C22">
        <v>300154</v>
      </c>
      <c r="D22" s="4">
        <v>-73568.780277632177</v>
      </c>
      <c r="E22" s="4">
        <v>2718954169.8687539</v>
      </c>
      <c r="F22" s="6"/>
    </row>
    <row r="23" spans="1:6" x14ac:dyDescent="0.25">
      <c r="A23" t="s">
        <v>32</v>
      </c>
      <c r="B23" t="s">
        <v>30</v>
      </c>
      <c r="C23">
        <v>300155</v>
      </c>
      <c r="D23" s="4">
        <v>-28648.80027763173</v>
      </c>
      <c r="E23" s="4">
        <v>2718954169.8687539</v>
      </c>
      <c r="F23" s="6"/>
    </row>
    <row r="24" spans="1:6" x14ac:dyDescent="0.25">
      <c r="A24" t="s">
        <v>32</v>
      </c>
      <c r="B24" t="s">
        <v>30</v>
      </c>
      <c r="C24">
        <v>300647</v>
      </c>
      <c r="D24" s="4">
        <v>-29260529.385619812</v>
      </c>
      <c r="E24" s="4">
        <v>2718954169.8687539</v>
      </c>
      <c r="F24" s="6"/>
    </row>
    <row r="25" spans="1:6" x14ac:dyDescent="0.25">
      <c r="A25" t="s">
        <v>33</v>
      </c>
      <c r="B25" t="s">
        <v>30</v>
      </c>
      <c r="C25">
        <v>300155</v>
      </c>
      <c r="D25" s="4">
        <v>-3965891.2958663069</v>
      </c>
      <c r="E25" s="4">
        <v>2719406032.1009212</v>
      </c>
      <c r="F25" s="6"/>
    </row>
    <row r="26" spans="1:6" x14ac:dyDescent="0.25">
      <c r="A26" t="s">
        <v>33</v>
      </c>
      <c r="B26" t="s">
        <v>30</v>
      </c>
      <c r="C26">
        <v>300156</v>
      </c>
      <c r="D26" s="4">
        <v>-3384242.2787192171</v>
      </c>
      <c r="E26" s="4">
        <v>2719406032.1009212</v>
      </c>
      <c r="F26" s="6"/>
    </row>
    <row r="27" spans="1:6" x14ac:dyDescent="0.25">
      <c r="A27" t="s">
        <v>33</v>
      </c>
      <c r="B27" t="s">
        <v>37</v>
      </c>
      <c r="C27">
        <v>300406</v>
      </c>
      <c r="D27" s="4">
        <v>-7924998.709720552</v>
      </c>
      <c r="E27" s="4">
        <v>1538915939.9481201</v>
      </c>
      <c r="F27" s="6"/>
    </row>
    <row r="28" spans="1:6" x14ac:dyDescent="0.25">
      <c r="A28" t="s">
        <v>35</v>
      </c>
      <c r="B28" t="s">
        <v>38</v>
      </c>
      <c r="C28">
        <v>389037</v>
      </c>
      <c r="D28" s="4">
        <v>-48612.587261099667</v>
      </c>
      <c r="E28" s="4">
        <v>5655208697.4511137</v>
      </c>
      <c r="F28" s="6"/>
    </row>
    <row r="29" spans="1:6" x14ac:dyDescent="0.25">
      <c r="A29" t="s">
        <v>35</v>
      </c>
      <c r="B29" t="s">
        <v>30</v>
      </c>
      <c r="C29">
        <v>300156</v>
      </c>
      <c r="D29" s="4">
        <v>-29508.60388297588</v>
      </c>
      <c r="E29" s="4">
        <v>2720310134.2304788</v>
      </c>
      <c r="F29" s="6"/>
    </row>
    <row r="30" spans="1:6" x14ac:dyDescent="0.25">
      <c r="A30" t="s">
        <v>35</v>
      </c>
      <c r="B30" t="s">
        <v>30</v>
      </c>
      <c r="C30">
        <v>389037</v>
      </c>
      <c r="D30" s="4">
        <v>-53898936.792012662</v>
      </c>
      <c r="E30" s="4">
        <v>2720310134.2304788</v>
      </c>
      <c r="F30" s="6"/>
    </row>
    <row r="31" spans="1:6" x14ac:dyDescent="0.25">
      <c r="A31" t="s">
        <v>35</v>
      </c>
      <c r="B31" t="s">
        <v>36</v>
      </c>
      <c r="C31">
        <v>389037</v>
      </c>
      <c r="D31" s="4">
        <v>-53289402.887839772</v>
      </c>
      <c r="E31" s="4">
        <v>6851891367.4626551</v>
      </c>
      <c r="F31" s="6"/>
    </row>
    <row r="32" spans="1:6" x14ac:dyDescent="0.25">
      <c r="A32" s="4" t="s">
        <v>39</v>
      </c>
      <c r="B32" s="4"/>
      <c r="D32" s="4">
        <v>-402067897.7490077</v>
      </c>
      <c r="E32" s="4">
        <v>3177003793.3778243</v>
      </c>
    </row>
    <row r="36" spans="1:6" x14ac:dyDescent="0.25">
      <c r="F36" s="6"/>
    </row>
    <row r="46" spans="1:6" x14ac:dyDescent="0.25">
      <c r="A46" s="7" t="s">
        <v>1</v>
      </c>
      <c r="B46" s="7" t="s">
        <v>45</v>
      </c>
      <c r="C46" s="8" t="s">
        <v>44</v>
      </c>
      <c r="D46" s="7" t="s">
        <v>42</v>
      </c>
      <c r="E46" s="7" t="s">
        <v>46</v>
      </c>
      <c r="F46" s="7" t="s">
        <v>43</v>
      </c>
    </row>
    <row r="47" spans="1:6" x14ac:dyDescent="0.25">
      <c r="A47" s="9" t="s">
        <v>29</v>
      </c>
      <c r="B47" t="s">
        <v>30</v>
      </c>
      <c r="C47" s="4">
        <v>-55049546.997847497</v>
      </c>
      <c r="D47" s="4">
        <v>2725765629.478714</v>
      </c>
      <c r="E47" s="4">
        <v>2725765629.478714</v>
      </c>
      <c r="F47" s="6">
        <v>-2.0195994256621171E-2</v>
      </c>
    </row>
    <row r="48" spans="1:6" x14ac:dyDescent="0.25">
      <c r="A48" s="9" t="s">
        <v>29</v>
      </c>
      <c r="B48" t="s">
        <v>36</v>
      </c>
      <c r="C48" s="4">
        <v>-35533429.077077895</v>
      </c>
      <c r="D48" s="4">
        <v>6868736398.0757322</v>
      </c>
      <c r="E48" s="4">
        <v>6868736398.0757322</v>
      </c>
      <c r="F48" s="6">
        <v>-5.1732119297855919E-3</v>
      </c>
    </row>
    <row r="49" spans="1:6" x14ac:dyDescent="0.25">
      <c r="A49" s="9" t="s">
        <v>29</v>
      </c>
      <c r="B49" t="s">
        <v>37</v>
      </c>
      <c r="C49" s="4">
        <v>-27948268.826873567</v>
      </c>
      <c r="D49" s="4">
        <v>1944596352.295027</v>
      </c>
      <c r="E49" s="4">
        <v>1944596352.295027</v>
      </c>
      <c r="F49" s="6">
        <v>-1.4372272576716917E-2</v>
      </c>
    </row>
    <row r="50" spans="1:6" x14ac:dyDescent="0.25">
      <c r="A50" s="9" t="s">
        <v>31</v>
      </c>
      <c r="B50" t="s">
        <v>30</v>
      </c>
      <c r="C50" s="4">
        <v>-51135131.985511899</v>
      </c>
      <c r="D50" s="4">
        <v>2721218254.8838611</v>
      </c>
      <c r="E50" s="4">
        <v>2721169642.2965999</v>
      </c>
      <c r="F50" s="6">
        <v>-1.8791600196728313E-2</v>
      </c>
    </row>
    <row r="51" spans="1:6" x14ac:dyDescent="0.25">
      <c r="A51" s="9" t="s">
        <v>31</v>
      </c>
      <c r="B51" t="s">
        <v>36</v>
      </c>
      <c r="C51" s="4">
        <v>-555422.47068689764</v>
      </c>
      <c r="D51" s="4">
        <v>6854697768.7645226</v>
      </c>
      <c r="E51" s="4">
        <v>6819164339.6874447</v>
      </c>
      <c r="F51" s="6">
        <v>-8.1450225133063059E-5</v>
      </c>
    </row>
    <row r="52" spans="1:6" x14ac:dyDescent="0.25">
      <c r="A52" s="9" t="s">
        <v>31</v>
      </c>
      <c r="B52" t="s">
        <v>37</v>
      </c>
      <c r="C52" s="4">
        <v>-79912405.795828536</v>
      </c>
      <c r="D52" s="4">
        <v>1559971645.267719</v>
      </c>
      <c r="E52" s="4">
        <v>1532023376.4408455</v>
      </c>
      <c r="F52" s="6">
        <v>-5.2161348857142659E-2</v>
      </c>
    </row>
    <row r="53" spans="1:6" x14ac:dyDescent="0.25">
      <c r="A53" s="9" t="s">
        <v>32</v>
      </c>
      <c r="B53" t="s">
        <v>30</v>
      </c>
      <c r="C53" s="4">
        <v>-29362746.966175076</v>
      </c>
      <c r="D53" s="4">
        <v>2718954169.8687539</v>
      </c>
      <c r="E53" s="4">
        <v>2612769490.8853946</v>
      </c>
      <c r="F53" s="6">
        <v>-1.1238169715547643E-2</v>
      </c>
    </row>
    <row r="54" spans="1:6" x14ac:dyDescent="0.25">
      <c r="A54" s="9" t="s">
        <v>33</v>
      </c>
      <c r="B54" t="s">
        <v>30</v>
      </c>
      <c r="C54" s="4">
        <v>-7350133.5745855235</v>
      </c>
      <c r="D54" s="4">
        <v>2719406032.1009212</v>
      </c>
      <c r="E54" s="4">
        <v>2583858606.1513867</v>
      </c>
      <c r="F54" s="6">
        <v>-2.8446345930412276E-3</v>
      </c>
    </row>
    <row r="55" spans="1:6" x14ac:dyDescent="0.25">
      <c r="A55" s="9" t="s">
        <v>33</v>
      </c>
      <c r="B55" t="s">
        <v>37</v>
      </c>
      <c r="C55" s="4">
        <v>-7924998.709720552</v>
      </c>
      <c r="D55" s="4">
        <v>1538915939.9481201</v>
      </c>
      <c r="E55" s="4">
        <v>1431055265.325418</v>
      </c>
      <c r="F55" s="6">
        <v>-5.5378704804376856E-3</v>
      </c>
    </row>
    <row r="56" spans="1:6" x14ac:dyDescent="0.25">
      <c r="A56" s="9" t="s">
        <v>35</v>
      </c>
      <c r="B56" t="s">
        <v>38</v>
      </c>
      <c r="C56" s="4">
        <v>-48612.587261099667</v>
      </c>
      <c r="D56" s="4">
        <v>5655208697.4511137</v>
      </c>
      <c r="E56" s="4">
        <v>5655208697.4511137</v>
      </c>
      <c r="F56" s="6">
        <v>-8.5960730826804107E-6</v>
      </c>
    </row>
    <row r="57" spans="1:6" x14ac:dyDescent="0.25">
      <c r="A57" s="9" t="s">
        <v>35</v>
      </c>
      <c r="B57" t="s">
        <v>30</v>
      </c>
      <c r="C57" s="4">
        <v>-53928445.395895638</v>
      </c>
      <c r="D57" s="4">
        <v>2720310134.2304788</v>
      </c>
      <c r="E57" s="4">
        <v>2577412574.7063589</v>
      </c>
      <c r="F57" s="6">
        <v>-2.0923481915594996E-2</v>
      </c>
    </row>
    <row r="58" spans="1:6" x14ac:dyDescent="0.25">
      <c r="A58" s="9" t="s">
        <v>35</v>
      </c>
      <c r="B58" t="s">
        <v>36</v>
      </c>
      <c r="C58" s="4">
        <v>-53289402.887839772</v>
      </c>
      <c r="D58" s="4">
        <v>6851891367.4626551</v>
      </c>
      <c r="E58" s="4">
        <v>6815802515.9148903</v>
      </c>
      <c r="F58" s="6">
        <v>-7.8185074704569396E-3</v>
      </c>
    </row>
    <row r="59" spans="1:6" x14ac:dyDescent="0.25">
      <c r="A59" s="9" t="s">
        <v>34</v>
      </c>
      <c r="B59" t="s">
        <v>30</v>
      </c>
      <c r="C59" s="4">
        <v>-29352.473703704771</v>
      </c>
      <c r="D59" s="4">
        <v>2721214990.5756922</v>
      </c>
      <c r="E59" s="4">
        <v>2524388985.6556764</v>
      </c>
      <c r="F59" s="6">
        <v>-1.1627555765174937E-5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BENJELLOUN Aya</cp:lastModifiedBy>
  <dcterms:created xsi:type="dcterms:W3CDTF">2025-10-17T15:25:59Z</dcterms:created>
  <dcterms:modified xsi:type="dcterms:W3CDTF">2025-10-21T09:57:32Z</dcterms:modified>
</cp:coreProperties>
</file>